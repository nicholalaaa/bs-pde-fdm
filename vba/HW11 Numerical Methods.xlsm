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yichongchen/Desktop/"/>
    </mc:Choice>
  </mc:AlternateContent>
  <xr:revisionPtr revIDLastSave="0" documentId="13_ncr:1_{23449E7D-273E-8546-A535-0F08424F5454}" xr6:coauthVersionLast="47" xr6:coauthVersionMax="47" xr10:uidLastSave="{00000000-0000-0000-0000-000000000000}"/>
  <bookViews>
    <workbookView xWindow="1060" yWindow="800" windowWidth="28020" windowHeight="17120" xr2:uid="{B64F1095-5D13-164B-83C6-E86F7A2B0D3A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3" i="1" l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B17" i="1" l="1"/>
  <c r="B16" i="1"/>
  <c r="F28" i="1"/>
  <c r="B13" i="1"/>
  <c r="B8" i="1"/>
  <c r="B20" i="1" s="1"/>
  <c r="B19" i="1" l="1"/>
  <c r="AC27" i="1"/>
  <c r="G28" i="1"/>
  <c r="AD28" i="1"/>
  <c r="G27" i="1"/>
  <c r="B18" i="1"/>
  <c r="B14" i="1"/>
  <c r="E26" i="1" s="1"/>
  <c r="F1" i="1"/>
  <c r="E25" i="1" l="1"/>
  <c r="AC26" i="1"/>
  <c r="B15" i="1"/>
  <c r="AE27" i="1"/>
  <c r="AD25" i="1"/>
  <c r="AD26" i="1"/>
  <c r="AD27" i="1"/>
  <c r="H28" i="1"/>
  <c r="AE28" i="1"/>
  <c r="Y65" i="1" l="1"/>
  <c r="Y51" i="1"/>
  <c r="Y63" i="1"/>
  <c r="AL82" i="1"/>
  <c r="AF76" i="1"/>
  <c r="Z70" i="1"/>
  <c r="AH79" i="1"/>
  <c r="F70" i="1"/>
  <c r="R82" i="1"/>
  <c r="N80" i="1"/>
  <c r="U86" i="1"/>
  <c r="I74" i="1"/>
  <c r="Y52" i="1"/>
  <c r="Y64" i="1"/>
  <c r="AK83" i="1"/>
  <c r="AE77" i="1"/>
  <c r="Y71" i="1"/>
  <c r="AG78" i="1"/>
  <c r="G71" i="1"/>
  <c r="S83" i="1"/>
  <c r="M79" i="1"/>
  <c r="T85" i="1"/>
  <c r="V87" i="1"/>
  <c r="Y53" i="1"/>
  <c r="AK81" i="1"/>
  <c r="AE75" i="1"/>
  <c r="Y69" i="1"/>
  <c r="AF77" i="1"/>
  <c r="H72" i="1"/>
  <c r="T84" i="1"/>
  <c r="L78" i="1"/>
  <c r="S84" i="1"/>
  <c r="H73" i="1"/>
  <c r="Y42" i="1"/>
  <c r="Y57" i="1"/>
  <c r="AN84" i="1"/>
  <c r="AF78" i="1"/>
  <c r="AO86" i="1"/>
  <c r="Z71" i="1"/>
  <c r="Q81" i="1"/>
  <c r="I75" i="1"/>
  <c r="M78" i="1"/>
  <c r="Y70" i="1"/>
  <c r="U85" i="1"/>
  <c r="L77" i="1"/>
  <c r="K76" i="1"/>
  <c r="Y45" i="1"/>
  <c r="AC75" i="1"/>
  <c r="U87" i="1"/>
  <c r="J75" i="1"/>
  <c r="Y43" i="1"/>
  <c r="Y58" i="1"/>
  <c r="AM85" i="1"/>
  <c r="AD76" i="1"/>
  <c r="AN85" i="1"/>
  <c r="H74" i="1"/>
  <c r="AL84" i="1"/>
  <c r="Y44" i="1"/>
  <c r="Y59" i="1"/>
  <c r="AM83" i="1"/>
  <c r="AD74" i="1"/>
  <c r="AM84" i="1"/>
  <c r="X69" i="1"/>
  <c r="V86" i="1"/>
  <c r="G73" i="1"/>
  <c r="Y60" i="1"/>
  <c r="AL83" i="1"/>
  <c r="F72" i="1"/>
  <c r="Y55" i="1"/>
  <c r="AO85" i="1"/>
  <c r="AG79" i="1"/>
  <c r="X70" i="1"/>
  <c r="AP86" i="1"/>
  <c r="AB74" i="1"/>
  <c r="AB73" i="1"/>
  <c r="R84" i="1"/>
  <c r="O80" i="1"/>
  <c r="AN86" i="1"/>
  <c r="J74" i="1"/>
  <c r="F71" i="1"/>
  <c r="Y48" i="1"/>
  <c r="K75" i="1"/>
  <c r="AJ80" i="1"/>
  <c r="J76" i="1"/>
  <c r="AI81" i="1"/>
  <c r="E71" i="1"/>
  <c r="AJ81" i="1"/>
  <c r="AC73" i="1"/>
  <c r="P81" i="1"/>
  <c r="AB72" i="1"/>
  <c r="AA72" i="1"/>
  <c r="Q83" i="1"/>
  <c r="N79" i="1"/>
  <c r="Y47" i="1"/>
  <c r="AA71" i="1"/>
  <c r="O81" i="1"/>
  <c r="Z72" i="1"/>
  <c r="K77" i="1"/>
  <c r="Y49" i="1"/>
  <c r="AP87" i="1"/>
  <c r="D69" i="1"/>
  <c r="AK82" i="1"/>
  <c r="Y54" i="1"/>
  <c r="N78" i="1"/>
  <c r="Y46" i="1"/>
  <c r="AO87" i="1"/>
  <c r="AA73" i="1"/>
  <c r="I73" i="1"/>
  <c r="P82" i="1"/>
  <c r="G72" i="1"/>
  <c r="AJ82" i="1"/>
  <c r="E70" i="1"/>
  <c r="L76" i="1"/>
  <c r="Y50" i="1"/>
  <c r="M77" i="1"/>
  <c r="AI79" i="1"/>
  <c r="D70" i="1"/>
  <c r="AC74" i="1"/>
  <c r="Y56" i="1"/>
  <c r="AH80" i="1"/>
  <c r="AI80" i="1"/>
  <c r="O79" i="1"/>
  <c r="E69" i="1"/>
  <c r="Y61" i="1"/>
  <c r="AH78" i="1"/>
  <c r="AE76" i="1"/>
  <c r="P80" i="1"/>
  <c r="R83" i="1"/>
  <c r="Y62" i="1"/>
  <c r="AG77" i="1"/>
  <c r="AD75" i="1"/>
  <c r="T86" i="1"/>
  <c r="Q82" i="1"/>
  <c r="S85" i="1"/>
  <c r="I28" i="1"/>
  <c r="AF28" i="1"/>
  <c r="H27" i="1"/>
  <c r="AF27" i="1" s="1"/>
  <c r="E24" i="1"/>
  <c r="AC25" i="1"/>
  <c r="E23" i="1" l="1"/>
  <c r="AC24" i="1"/>
  <c r="AD24" i="1"/>
  <c r="D90" i="1" a="1"/>
  <c r="D90" i="1" s="1"/>
  <c r="X90" i="1" s="1" a="1"/>
  <c r="X90" i="1" s="1"/>
  <c r="J28" i="1"/>
  <c r="AG28" i="1"/>
  <c r="I27" i="1"/>
  <c r="AG27" i="1" s="1"/>
  <c r="K28" i="1" l="1"/>
  <c r="AH28" i="1"/>
  <c r="J27" i="1"/>
  <c r="AH27" i="1" s="1"/>
  <c r="E22" i="1"/>
  <c r="AC23" i="1"/>
  <c r="AD23" i="1"/>
  <c r="E21" i="1" l="1"/>
  <c r="AC22" i="1"/>
  <c r="AD22" i="1"/>
  <c r="L28" i="1"/>
  <c r="AI28" i="1"/>
  <c r="K27" i="1"/>
  <c r="M28" i="1" l="1"/>
  <c r="AJ28" i="1"/>
  <c r="L27" i="1"/>
  <c r="AJ27" i="1" s="1"/>
  <c r="AI27" i="1"/>
  <c r="E20" i="1"/>
  <c r="AC21" i="1"/>
  <c r="AD21" i="1"/>
  <c r="E19" i="1" l="1"/>
  <c r="AC20" i="1"/>
  <c r="AD20" i="1"/>
  <c r="N28" i="1"/>
  <c r="AK28" i="1"/>
  <c r="M27" i="1"/>
  <c r="AK27" i="1" s="1"/>
  <c r="O28" i="1" l="1"/>
  <c r="AL28" i="1"/>
  <c r="N27" i="1"/>
  <c r="AL27" i="1" s="1"/>
  <c r="E18" i="1"/>
  <c r="AC19" i="1"/>
  <c r="AD19" i="1"/>
  <c r="E17" i="1" l="1"/>
  <c r="AC18" i="1"/>
  <c r="AD18" i="1"/>
  <c r="P28" i="1"/>
  <c r="AM28" i="1"/>
  <c r="O27" i="1"/>
  <c r="AM27" i="1" s="1"/>
  <c r="Q28" i="1" l="1"/>
  <c r="AN28" i="1"/>
  <c r="P27" i="1"/>
  <c r="AN27" i="1" s="1"/>
  <c r="E16" i="1"/>
  <c r="AC17" i="1"/>
  <c r="AD17" i="1"/>
  <c r="E15" i="1" l="1"/>
  <c r="AC16" i="1"/>
  <c r="AD16" i="1"/>
  <c r="R28" i="1"/>
  <c r="AO28" i="1"/>
  <c r="Q27" i="1"/>
  <c r="AO27" i="1" s="1"/>
  <c r="S28" i="1" l="1"/>
  <c r="AP28" i="1"/>
  <c r="R27" i="1"/>
  <c r="AP27" i="1" s="1"/>
  <c r="E14" i="1"/>
  <c r="AC15" i="1"/>
  <c r="AD15" i="1"/>
  <c r="E13" i="1" l="1"/>
  <c r="AC13" i="1" s="1"/>
  <c r="AC14" i="1"/>
  <c r="AD14" i="1"/>
  <c r="T28" i="1"/>
  <c r="AQ28" i="1"/>
  <c r="S27" i="1"/>
  <c r="AQ27" i="1" s="1"/>
  <c r="U28" i="1" l="1"/>
  <c r="AR28" i="1"/>
  <c r="T27" i="1"/>
  <c r="AR27" i="1" s="1"/>
  <c r="E12" i="1"/>
  <c r="AD13" i="1"/>
  <c r="E11" i="1" l="1"/>
  <c r="AC12" i="1"/>
  <c r="AD12" i="1"/>
  <c r="V28" i="1"/>
  <c r="AS28" i="1"/>
  <c r="U27" i="1"/>
  <c r="AS27" i="1" s="1"/>
  <c r="W28" i="1" l="1"/>
  <c r="AT28" i="1"/>
  <c r="V27" i="1"/>
  <c r="AT27" i="1" s="1"/>
  <c r="E10" i="1"/>
  <c r="AC11" i="1"/>
  <c r="AD11" i="1"/>
  <c r="E9" i="1" l="1"/>
  <c r="AC10" i="1"/>
  <c r="AD10" i="1"/>
  <c r="X28" i="1"/>
  <c r="AU28" i="1"/>
  <c r="W27" i="1"/>
  <c r="AU27" i="1" s="1"/>
  <c r="Y28" i="1" l="1"/>
  <c r="AV28" i="1"/>
  <c r="X27" i="1"/>
  <c r="AV27" i="1" s="1"/>
  <c r="E8" i="1"/>
  <c r="AC9" i="1"/>
  <c r="AD9" i="1"/>
  <c r="E7" i="1" l="1"/>
  <c r="AC8" i="1"/>
  <c r="AD8" i="1"/>
  <c r="Z28" i="1"/>
  <c r="AW28" i="1"/>
  <c r="Y27" i="1"/>
  <c r="AX28" i="1" l="1"/>
  <c r="Z10" i="1"/>
  <c r="AX10" i="1" s="1"/>
  <c r="Z11" i="1"/>
  <c r="AX11" i="1" s="1"/>
  <c r="Z17" i="1"/>
  <c r="AX17" i="1" s="1"/>
  <c r="Z19" i="1"/>
  <c r="Z15" i="1"/>
  <c r="AQ54" i="1" s="1"/>
  <c r="Z7" i="1"/>
  <c r="Z12" i="1"/>
  <c r="Z18" i="1"/>
  <c r="AQ57" i="1" s="1"/>
  <c r="Z23" i="1"/>
  <c r="AQ62" i="1" s="1"/>
  <c r="Z6" i="1"/>
  <c r="AQ45" i="1" s="1"/>
  <c r="Z22" i="1"/>
  <c r="AX22" i="1" s="1"/>
  <c r="Z8" i="1"/>
  <c r="AX8" i="1" s="1"/>
  <c r="Z16" i="1"/>
  <c r="AX16" i="1" s="1"/>
  <c r="Z14" i="1"/>
  <c r="AX14" i="1" s="1"/>
  <c r="Z27" i="1"/>
  <c r="AX27" i="1" s="1"/>
  <c r="Z20" i="1"/>
  <c r="Z24" i="1"/>
  <c r="AX24" i="1" s="1"/>
  <c r="Z13" i="1"/>
  <c r="AQ52" i="1" s="1"/>
  <c r="Z26" i="1"/>
  <c r="Z25" i="1"/>
  <c r="Z9" i="1"/>
  <c r="AX9" i="1" s="1"/>
  <c r="Z21" i="1"/>
  <c r="AW27" i="1"/>
  <c r="E6" i="1"/>
  <c r="AC7" i="1"/>
  <c r="AD7" i="1"/>
  <c r="AQ65" i="1" l="1"/>
  <c r="G26" i="1" s="1" a="1"/>
  <c r="AG26" i="1" s="1"/>
  <c r="AQ46" i="1"/>
  <c r="AQ64" i="1"/>
  <c r="AX15" i="1"/>
  <c r="AQ60" i="1"/>
  <c r="AX26" i="1"/>
  <c r="AQ59" i="1"/>
  <c r="AX13" i="1"/>
  <c r="AX6" i="1"/>
  <c r="AQ47" i="1"/>
  <c r="AX23" i="1"/>
  <c r="AQ50" i="1"/>
  <c r="AQ51" i="1"/>
  <c r="AQ63" i="1"/>
  <c r="AX25" i="1"/>
  <c r="AQ53" i="1"/>
  <c r="AQ49" i="1"/>
  <c r="AX18" i="1"/>
  <c r="E5" i="1"/>
  <c r="AC6" i="1"/>
  <c r="AD6" i="1"/>
  <c r="AX20" i="1"/>
  <c r="AQ58" i="1"/>
  <c r="AQ56" i="1"/>
  <c r="AX12" i="1"/>
  <c r="AQ55" i="1"/>
  <c r="AX19" i="1"/>
  <c r="AX21" i="1"/>
  <c r="AX7" i="1"/>
  <c r="AQ48" i="1"/>
  <c r="AQ61" i="1"/>
  <c r="AR26" i="1" l="1"/>
  <c r="AQ26" i="1"/>
  <c r="AO26" i="1"/>
  <c r="AN26" i="1"/>
  <c r="AM26" i="1"/>
  <c r="AL26" i="1"/>
  <c r="AK26" i="1"/>
  <c r="AJ26" i="1"/>
  <c r="AH26" i="1"/>
  <c r="AF26" i="1"/>
  <c r="G26" i="1"/>
  <c r="AE26" i="1" s="1"/>
  <c r="AP26" i="1"/>
  <c r="AW26" i="1"/>
  <c r="AV26" i="1"/>
  <c r="AU26" i="1"/>
  <c r="AI26" i="1"/>
  <c r="AT26" i="1"/>
  <c r="AS26" i="1"/>
  <c r="E4" i="1"/>
  <c r="AC5" i="1"/>
  <c r="AD5" i="1"/>
  <c r="Z5" i="1"/>
  <c r="AQ44" i="1" s="1"/>
  <c r="G25" i="1" l="1" a="1"/>
  <c r="AL25" i="1" s="1"/>
  <c r="AX5" i="1"/>
  <c r="E3" i="1"/>
  <c r="AC4" i="1"/>
  <c r="AD4" i="1"/>
  <c r="Z4" i="1"/>
  <c r="AQ43" i="1" s="1"/>
  <c r="AW25" i="1" l="1"/>
  <c r="AV25" i="1"/>
  <c r="AU25" i="1"/>
  <c r="AT25" i="1"/>
  <c r="AS25" i="1"/>
  <c r="AR25" i="1"/>
  <c r="AQ25" i="1"/>
  <c r="G25" i="1"/>
  <c r="AP25" i="1"/>
  <c r="AO25" i="1"/>
  <c r="AM25" i="1"/>
  <c r="AK25" i="1"/>
  <c r="AJ25" i="1"/>
  <c r="AI25" i="1"/>
  <c r="AH25" i="1"/>
  <c r="AG25" i="1"/>
  <c r="AF25" i="1"/>
  <c r="AN25" i="1"/>
  <c r="AX4" i="1"/>
  <c r="G24" i="1" a="1"/>
  <c r="AE25" i="1"/>
  <c r="AC3" i="1"/>
  <c r="AD3" i="1"/>
  <c r="Z3" i="1"/>
  <c r="AQ42" i="1" s="1"/>
  <c r="AX3" i="1" l="1"/>
  <c r="G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G23" i="1" l="1" a="1"/>
  <c r="AE24" i="1"/>
  <c r="G23" i="1" l="1"/>
  <c r="AG23" i="1"/>
  <c r="AH23" i="1"/>
  <c r="AF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G22" i="1" l="1" a="1"/>
  <c r="AE23" i="1"/>
  <c r="G22" i="1" l="1"/>
  <c r="AI22" i="1"/>
  <c r="AH22" i="1"/>
  <c r="AF22" i="1"/>
  <c r="AG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G21" i="1" l="1" a="1"/>
  <c r="AE22" i="1"/>
  <c r="G21" i="1" l="1"/>
  <c r="AI21" i="1"/>
  <c r="AH21" i="1"/>
  <c r="AJ21" i="1"/>
  <c r="AF21" i="1"/>
  <c r="AG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G20" i="1" l="1" a="1"/>
  <c r="AE21" i="1"/>
  <c r="G20" i="1" l="1"/>
  <c r="AJ20" i="1"/>
  <c r="AG20" i="1"/>
  <c r="AI20" i="1"/>
  <c r="AK20" i="1"/>
  <c r="AF20" i="1"/>
  <c r="AH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G19" i="1" l="1" a="1"/>
  <c r="AE20" i="1"/>
  <c r="G19" i="1" l="1"/>
  <c r="AK19" i="1"/>
  <c r="AJ19" i="1"/>
  <c r="AH19" i="1"/>
  <c r="AI19" i="1"/>
  <c r="AL19" i="1"/>
  <c r="AF19" i="1"/>
  <c r="AG19" i="1"/>
  <c r="AM19" i="1"/>
  <c r="AN19" i="1"/>
  <c r="AO19" i="1"/>
  <c r="AP19" i="1"/>
  <c r="AQ19" i="1"/>
  <c r="AR19" i="1"/>
  <c r="AS19" i="1"/>
  <c r="AT19" i="1"/>
  <c r="AU19" i="1"/>
  <c r="AV19" i="1"/>
  <c r="AW19" i="1"/>
  <c r="G18" i="1" l="1" a="1"/>
  <c r="AE19" i="1"/>
  <c r="G18" i="1" l="1"/>
  <c r="AL18" i="1"/>
  <c r="AH18" i="1"/>
  <c r="AF18" i="1"/>
  <c r="AG18" i="1"/>
  <c r="AI18" i="1"/>
  <c r="AJ18" i="1"/>
  <c r="AK18" i="1"/>
  <c r="AM18" i="1"/>
  <c r="AN18" i="1"/>
  <c r="AO18" i="1"/>
  <c r="AP18" i="1"/>
  <c r="AQ18" i="1"/>
  <c r="AR18" i="1"/>
  <c r="AS18" i="1"/>
  <c r="AT18" i="1"/>
  <c r="AU18" i="1"/>
  <c r="AV18" i="1"/>
  <c r="AW18" i="1"/>
  <c r="G17" i="1" l="1" a="1"/>
  <c r="AE18" i="1"/>
  <c r="G17" i="1" l="1"/>
  <c r="AM17" i="1"/>
  <c r="AJ17" i="1"/>
  <c r="AK17" i="1"/>
  <c r="AN17" i="1"/>
  <c r="AH17" i="1"/>
  <c r="AL17" i="1"/>
  <c r="AF17" i="1"/>
  <c r="AG17" i="1"/>
  <c r="AI17" i="1"/>
  <c r="AO17" i="1"/>
  <c r="AP17" i="1"/>
  <c r="AQ17" i="1"/>
  <c r="AR17" i="1"/>
  <c r="AS17" i="1"/>
  <c r="AT17" i="1"/>
  <c r="AU17" i="1"/>
  <c r="AV17" i="1"/>
  <c r="AW17" i="1"/>
  <c r="G16" i="1" l="1" a="1"/>
  <c r="AE17" i="1"/>
  <c r="G16" i="1" l="1"/>
  <c r="AN16" i="1"/>
  <c r="AM16" i="1"/>
  <c r="AF16" i="1"/>
  <c r="AO16" i="1"/>
  <c r="AH16" i="1"/>
  <c r="AK16" i="1"/>
  <c r="AL16" i="1"/>
  <c r="AG16" i="1"/>
  <c r="AI16" i="1"/>
  <c r="AJ16" i="1"/>
  <c r="AP16" i="1"/>
  <c r="AQ16" i="1"/>
  <c r="AR16" i="1"/>
  <c r="AS16" i="1"/>
  <c r="AT16" i="1"/>
  <c r="AU16" i="1"/>
  <c r="AV16" i="1"/>
  <c r="AW16" i="1"/>
  <c r="G15" i="1" l="1" a="1"/>
  <c r="AE16" i="1"/>
  <c r="G15" i="1" l="1"/>
  <c r="AO15" i="1"/>
  <c r="AJ15" i="1"/>
  <c r="AK15" i="1"/>
  <c r="AL15" i="1"/>
  <c r="AM15" i="1"/>
  <c r="AN15" i="1"/>
  <c r="AF15" i="1"/>
  <c r="AG15" i="1"/>
  <c r="AH15" i="1"/>
  <c r="AI15" i="1"/>
  <c r="AP15" i="1"/>
  <c r="AQ15" i="1"/>
  <c r="AR15" i="1"/>
  <c r="AS15" i="1"/>
  <c r="AT15" i="1"/>
  <c r="AU15" i="1"/>
  <c r="AV15" i="1"/>
  <c r="AW15" i="1"/>
  <c r="G14" i="1" l="1" a="1"/>
  <c r="AE15" i="1"/>
  <c r="G14" i="1" l="1"/>
  <c r="AP14" i="1"/>
  <c r="AN14" i="1"/>
  <c r="AF14" i="1"/>
  <c r="AH14" i="1"/>
  <c r="AM14" i="1"/>
  <c r="AO14" i="1"/>
  <c r="AG14" i="1"/>
  <c r="AJ14" i="1"/>
  <c r="AK14" i="1"/>
  <c r="AL14" i="1"/>
  <c r="AI14" i="1"/>
  <c r="AQ14" i="1"/>
  <c r="AR14" i="1"/>
  <c r="AS14" i="1"/>
  <c r="AT14" i="1"/>
  <c r="AU14" i="1"/>
  <c r="AV14" i="1"/>
  <c r="AW14" i="1"/>
  <c r="G13" i="1" l="1" a="1"/>
  <c r="AE14" i="1"/>
  <c r="G13" i="1" l="1"/>
  <c r="AQ13" i="1"/>
  <c r="AJ13" i="1"/>
  <c r="AK13" i="1"/>
  <c r="AL13" i="1"/>
  <c r="AN13" i="1"/>
  <c r="AR13" i="1"/>
  <c r="AM13" i="1"/>
  <c r="AP13" i="1"/>
  <c r="AF13" i="1"/>
  <c r="AO13" i="1"/>
  <c r="AG13" i="1"/>
  <c r="AH13" i="1"/>
  <c r="AI13" i="1"/>
  <c r="AS13" i="1"/>
  <c r="AT13" i="1"/>
  <c r="AU13" i="1"/>
  <c r="AV13" i="1"/>
  <c r="AW13" i="1"/>
  <c r="G12" i="1" l="1" a="1"/>
  <c r="AE13" i="1"/>
  <c r="G12" i="1" l="1"/>
  <c r="AN12" i="1"/>
  <c r="AO12" i="1"/>
  <c r="AP12" i="1"/>
  <c r="AQ12" i="1"/>
  <c r="AR12" i="1"/>
  <c r="AS12" i="1"/>
  <c r="AH12" i="1"/>
  <c r="AJ12" i="1"/>
  <c r="AF12" i="1"/>
  <c r="AG12" i="1"/>
  <c r="AI12" i="1"/>
  <c r="AL12" i="1"/>
  <c r="AK12" i="1"/>
  <c r="AM12" i="1"/>
  <c r="AT12" i="1"/>
  <c r="AU12" i="1"/>
  <c r="AV12" i="1"/>
  <c r="AW12" i="1"/>
  <c r="G11" i="1" l="1" a="1"/>
  <c r="AE12" i="1"/>
  <c r="G11" i="1" l="1"/>
  <c r="AS11" i="1"/>
  <c r="AJ11" i="1"/>
  <c r="AK11" i="1"/>
  <c r="AT11" i="1"/>
  <c r="AL11" i="1"/>
  <c r="AM11" i="1"/>
  <c r="AP11" i="1"/>
  <c r="AR11" i="1"/>
  <c r="AG11" i="1"/>
  <c r="AH11" i="1"/>
  <c r="AN11" i="1"/>
  <c r="AQ11" i="1"/>
  <c r="AF11" i="1"/>
  <c r="AO11" i="1"/>
  <c r="AI11" i="1"/>
  <c r="AU11" i="1"/>
  <c r="AV11" i="1"/>
  <c r="AW11" i="1"/>
  <c r="G10" i="1" l="1" a="1"/>
  <c r="AE11" i="1"/>
  <c r="G10" i="1" l="1"/>
  <c r="AT10" i="1"/>
  <c r="AM10" i="1"/>
  <c r="AU10" i="1"/>
  <c r="AS10" i="1"/>
  <c r="AH10" i="1"/>
  <c r="AN10" i="1"/>
  <c r="AP10" i="1"/>
  <c r="AQ10" i="1"/>
  <c r="AF10" i="1"/>
  <c r="AK10" i="1"/>
  <c r="AO10" i="1"/>
  <c r="AR10" i="1"/>
  <c r="AG10" i="1"/>
  <c r="AI10" i="1"/>
  <c r="AJ10" i="1"/>
  <c r="AL10" i="1"/>
  <c r="AV10" i="1"/>
  <c r="AW10" i="1"/>
  <c r="G9" i="1" l="1" a="1"/>
  <c r="AE10" i="1"/>
  <c r="G9" i="1" l="1"/>
  <c r="AU9" i="1"/>
  <c r="AJ9" i="1"/>
  <c r="AO9" i="1"/>
  <c r="AP9" i="1"/>
  <c r="AF9" i="1"/>
  <c r="AG9" i="1"/>
  <c r="AK9" i="1"/>
  <c r="AM9" i="1"/>
  <c r="AQ9" i="1"/>
  <c r="AS9" i="1"/>
  <c r="AH9" i="1"/>
  <c r="AV9" i="1"/>
  <c r="AL9" i="1"/>
  <c r="AN9" i="1"/>
  <c r="AR9" i="1"/>
  <c r="AT9" i="1"/>
  <c r="AI9" i="1"/>
  <c r="AW9" i="1"/>
  <c r="G8" i="1" l="1" a="1"/>
  <c r="AE9" i="1"/>
  <c r="G8" i="1" l="1"/>
  <c r="AV8" i="1"/>
  <c r="AN8" i="1"/>
  <c r="AF8" i="1"/>
  <c r="AP8" i="1"/>
  <c r="AS8" i="1"/>
  <c r="AH8" i="1"/>
  <c r="AJ8" i="1"/>
  <c r="AW8" i="1"/>
  <c r="AO8" i="1"/>
  <c r="AQ8" i="1"/>
  <c r="AR8" i="1"/>
  <c r="AG8" i="1"/>
  <c r="AT8" i="1"/>
  <c r="AU8" i="1"/>
  <c r="AM8" i="1"/>
  <c r="AI8" i="1"/>
  <c r="AK8" i="1"/>
  <c r="AL8" i="1"/>
  <c r="G7" i="1" l="1" a="1"/>
  <c r="AE8" i="1"/>
  <c r="G7" i="1" l="1"/>
  <c r="AW7" i="1"/>
  <c r="AI7" i="1"/>
  <c r="AU7" i="1"/>
  <c r="AV7" i="1"/>
  <c r="AM7" i="1"/>
  <c r="AN7" i="1"/>
  <c r="AP7" i="1"/>
  <c r="AQ7" i="1"/>
  <c r="AS7" i="1"/>
  <c r="AJ7" i="1"/>
  <c r="AK7" i="1"/>
  <c r="AL7" i="1"/>
  <c r="AO7" i="1"/>
  <c r="AF7" i="1"/>
  <c r="AG7" i="1"/>
  <c r="AH7" i="1"/>
  <c r="AR7" i="1"/>
  <c r="AT7" i="1"/>
  <c r="G6" i="1" l="1" a="1"/>
  <c r="AE7" i="1"/>
  <c r="G6" i="1" l="1"/>
  <c r="AK6" i="1"/>
  <c r="AW6" i="1"/>
  <c r="AM6" i="1"/>
  <c r="AN6" i="1"/>
  <c r="AO6" i="1"/>
  <c r="AR6" i="1"/>
  <c r="AT6" i="1"/>
  <c r="AL6" i="1"/>
  <c r="AP6" i="1"/>
  <c r="AS6" i="1"/>
  <c r="AI6" i="1"/>
  <c r="AF6" i="1"/>
  <c r="AQ6" i="1"/>
  <c r="AG6" i="1"/>
  <c r="AH6" i="1"/>
  <c r="AU6" i="1"/>
  <c r="AJ6" i="1"/>
  <c r="AV6" i="1"/>
  <c r="G5" i="1" l="1" a="1"/>
  <c r="AE6" i="1"/>
  <c r="G5" i="1" l="1"/>
  <c r="AL5" i="1"/>
  <c r="AM5" i="1"/>
  <c r="AR5" i="1"/>
  <c r="AG5" i="1"/>
  <c r="AH5" i="1"/>
  <c r="AU5" i="1"/>
  <c r="AV5" i="1"/>
  <c r="AW5" i="1"/>
  <c r="AN5" i="1"/>
  <c r="AO5" i="1"/>
  <c r="AP5" i="1"/>
  <c r="AQ5" i="1"/>
  <c r="AF5" i="1"/>
  <c r="AS5" i="1"/>
  <c r="AT5" i="1"/>
  <c r="AI5" i="1"/>
  <c r="AJ5" i="1"/>
  <c r="AK5" i="1"/>
  <c r="G4" i="1" l="1" a="1"/>
  <c r="AE5" i="1"/>
  <c r="G4" i="1" l="1"/>
  <c r="AN4" i="1"/>
  <c r="AF4" i="1"/>
  <c r="AT4" i="1"/>
  <c r="AJ4" i="1"/>
  <c r="AK4" i="1"/>
  <c r="AM4" i="1"/>
  <c r="AO4" i="1"/>
  <c r="AQ4" i="1"/>
  <c r="AS4" i="1"/>
  <c r="AH4" i="1"/>
  <c r="AU4" i="1"/>
  <c r="AV4" i="1"/>
  <c r="AW4" i="1"/>
  <c r="AP4" i="1"/>
  <c r="AR4" i="1"/>
  <c r="AG4" i="1"/>
  <c r="AI4" i="1"/>
  <c r="AL4" i="1"/>
  <c r="G3" i="1" l="1" a="1"/>
  <c r="AE4" i="1"/>
  <c r="G3" i="1" l="1"/>
  <c r="AE3" i="1" s="1"/>
  <c r="AL3" i="1"/>
  <c r="AM3" i="1"/>
  <c r="AO3" i="1"/>
  <c r="AQ3" i="1"/>
  <c r="AG3" i="1"/>
  <c r="AH3" i="1"/>
  <c r="AI3" i="1"/>
  <c r="AJ3" i="1"/>
  <c r="AK3" i="1"/>
  <c r="AN3" i="1"/>
  <c r="AP3" i="1"/>
  <c r="AF3" i="1"/>
  <c r="AR3" i="1"/>
  <c r="AS3" i="1"/>
  <c r="AT3" i="1"/>
  <c r="AU3" i="1"/>
  <c r="AV3" i="1"/>
  <c r="AW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<sst xmlns="http://schemas.openxmlformats.org/spreadsheetml/2006/main" count="170" uniqueCount="149">
  <si>
    <t>Name: Yichong Chen</t>
  </si>
  <si>
    <t>UNI: yc4570</t>
  </si>
  <si>
    <t>Strike (K)</t>
  </si>
  <si>
    <t>Spot (S)</t>
  </si>
  <si>
    <t>Volatility (σ)</t>
  </si>
  <si>
    <t>Time (T)</t>
  </si>
  <si>
    <t>m</t>
  </si>
  <si>
    <t>γ_max</t>
  </si>
  <si>
    <t>θ</t>
  </si>
  <si>
    <t>Δx</t>
  </si>
  <si>
    <t>Δτ</t>
  </si>
  <si>
    <t>λ</t>
  </si>
  <si>
    <t>x</t>
  </si>
  <si>
    <t>foreign (rf)</t>
  </si>
  <si>
    <t>Expiration day</t>
  </si>
  <si>
    <t>x_0</t>
  </si>
  <si>
    <t>τ</t>
  </si>
  <si>
    <t>τ_24</t>
  </si>
  <si>
    <t>τ_23</t>
  </si>
  <si>
    <t>τ_22</t>
  </si>
  <si>
    <t>τ_21</t>
  </si>
  <si>
    <t>τ_20</t>
  </si>
  <si>
    <t>τ_19</t>
  </si>
  <si>
    <t>τ_18</t>
  </si>
  <si>
    <t>τ_17</t>
  </si>
  <si>
    <t>τ_16</t>
  </si>
  <si>
    <t>τ_15</t>
  </si>
  <si>
    <t>τ_14</t>
  </si>
  <si>
    <t>τ_13</t>
  </si>
  <si>
    <t>τ_12</t>
  </si>
  <si>
    <t>τ_11</t>
  </si>
  <si>
    <t>τ_10</t>
  </si>
  <si>
    <t>τ_9</t>
  </si>
  <si>
    <t>τ_8</t>
  </si>
  <si>
    <t>τ_7</t>
  </si>
  <si>
    <t>τ_6</t>
  </si>
  <si>
    <t>τ_5</t>
  </si>
  <si>
    <t>τ_4</t>
  </si>
  <si>
    <t>τ_3</t>
  </si>
  <si>
    <t>τ_2</t>
  </si>
  <si>
    <t>τ_1</t>
  </si>
  <si>
    <t>τ_0</t>
  </si>
  <si>
    <t>x_1</t>
  </si>
  <si>
    <t>x_2</t>
  </si>
  <si>
    <t>x_3</t>
  </si>
  <si>
    <t>x_4</t>
  </si>
  <si>
    <t>x_5</t>
  </si>
  <si>
    <t>x_6</t>
  </si>
  <si>
    <t>x_7</t>
  </si>
  <si>
    <t>x_8</t>
  </si>
  <si>
    <t>x_9</t>
  </si>
  <si>
    <t>x_10</t>
  </si>
  <si>
    <t>x_11</t>
  </si>
  <si>
    <t>x_12</t>
  </si>
  <si>
    <t>x_13</t>
  </si>
  <si>
    <t>x_14</t>
  </si>
  <si>
    <t>x_15</t>
  </si>
  <si>
    <t>x_16</t>
  </si>
  <si>
    <t>x_17</t>
  </si>
  <si>
    <t>x_18</t>
  </si>
  <si>
    <t>x_19</t>
  </si>
  <si>
    <t>x_20</t>
  </si>
  <si>
    <t>t</t>
  </si>
  <si>
    <t>t_0</t>
  </si>
  <si>
    <t>t_1</t>
  </si>
  <si>
    <t>t_24</t>
  </si>
  <si>
    <t>t_23</t>
  </si>
  <si>
    <t>t_22</t>
  </si>
  <si>
    <t>t_21</t>
  </si>
  <si>
    <t>t_20</t>
  </si>
  <si>
    <t>t_19</t>
  </si>
  <si>
    <t>t_18</t>
  </si>
  <si>
    <t>t_17</t>
  </si>
  <si>
    <t>t_16</t>
  </si>
  <si>
    <t>t_15</t>
  </si>
  <si>
    <t>t_14</t>
  </si>
  <si>
    <t>t_13</t>
  </si>
  <si>
    <t>t_12</t>
  </si>
  <si>
    <t>t_11</t>
  </si>
  <si>
    <t>t_10</t>
  </si>
  <si>
    <t>t_9</t>
  </si>
  <si>
    <t>t_8</t>
  </si>
  <si>
    <t>t_7</t>
  </si>
  <si>
    <t>t_6</t>
  </si>
  <si>
    <t>t_5</t>
  </si>
  <si>
    <t>t_4</t>
  </si>
  <si>
    <t>t_3</t>
  </si>
  <si>
    <t>t_2</t>
  </si>
  <si>
    <t>q_δ</t>
  </si>
  <si>
    <t>Domestic (r)</t>
  </si>
  <si>
    <t>A</t>
  </si>
  <si>
    <t>Inv(A)</t>
  </si>
  <si>
    <t>B</t>
  </si>
  <si>
    <t>Inv(A)*B</t>
  </si>
  <si>
    <t>d</t>
  </si>
  <si>
    <t>d_23</t>
  </si>
  <si>
    <t>d_22</t>
  </si>
  <si>
    <t>d_21</t>
  </si>
  <si>
    <t>d_20</t>
  </si>
  <si>
    <t>d_19</t>
  </si>
  <si>
    <t>d_18</t>
  </si>
  <si>
    <t>d_17</t>
  </si>
  <si>
    <t>d_16</t>
  </si>
  <si>
    <t>d_15</t>
  </si>
  <si>
    <t>d_14</t>
  </si>
  <si>
    <t>d_13</t>
  </si>
  <si>
    <t>d_12</t>
  </si>
  <si>
    <t>d_11</t>
  </si>
  <si>
    <t>d_10</t>
  </si>
  <si>
    <t>d_9</t>
  </si>
  <si>
    <t>d_8</t>
  </si>
  <si>
    <t>d_7</t>
  </si>
  <si>
    <t>d_6</t>
  </si>
  <si>
    <t>d_5</t>
  </si>
  <si>
    <t>d_4</t>
  </si>
  <si>
    <t>d_3</t>
  </si>
  <si>
    <t>d_2</t>
  </si>
  <si>
    <t>d_1</t>
  </si>
  <si>
    <t>d_0</t>
  </si>
  <si>
    <t>q</t>
  </si>
  <si>
    <t>α</t>
  </si>
  <si>
    <t>β</t>
  </si>
  <si>
    <t>y(x,τ)</t>
  </si>
  <si>
    <t>V(S,t)</t>
  </si>
  <si>
    <t>S</t>
  </si>
  <si>
    <t>S_0</t>
  </si>
  <si>
    <t>S_1</t>
  </si>
  <si>
    <t>S_2</t>
  </si>
  <si>
    <t>S_3</t>
  </si>
  <si>
    <t>S_4</t>
  </si>
  <si>
    <t>S_5</t>
  </si>
  <si>
    <t>S_6</t>
  </si>
  <si>
    <t>S_7</t>
  </si>
  <si>
    <t>S_8</t>
  </si>
  <si>
    <t>S_9</t>
  </si>
  <si>
    <t>S_10</t>
  </si>
  <si>
    <t>S_11</t>
  </si>
  <si>
    <t>S_12</t>
  </si>
  <si>
    <t>S_13</t>
  </si>
  <si>
    <t>S_14</t>
  </si>
  <si>
    <t>S_15</t>
  </si>
  <si>
    <t>S_16</t>
  </si>
  <si>
    <t>S_17</t>
  </si>
  <si>
    <t>S_18</t>
  </si>
  <si>
    <t>S_19</t>
  </si>
  <si>
    <t>S_20</t>
  </si>
  <si>
    <t>θ (0≤θ≤1)</t>
  </si>
  <si>
    <t>|V(S_10,t_24)-V_BS|</t>
  </si>
  <si>
    <t>V_BS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</si>
</sst>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0.0%"/>
    <numFmt numFmtId="165" formatCode="0.0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55">
    <xf numFmtId="0" fontId="0" fillId="0" borderId="0" xfId="0"/>
    <xf numFmtId="0" fontId="0" fillId="5" borderId="0" xfId="0" applyFill="1"/>
    <xf numFmtId="0" fontId="0" fillId="5" borderId="0" xfId="0" applyFill="1" applyAlignment="1">
      <alignment horizontal="center"/>
    </xf>
    <xf numFmtId="0" fontId="1" fillId="5" borderId="0" xfId="0" applyFont="1" applyFill="1"/>
    <xf numFmtId="0" fontId="1" fillId="5" borderId="0" xfId="0" applyFont="1" applyFill="1" applyAlignment="1">
      <alignment horizontal="center"/>
    </xf>
    <xf numFmtId="0" fontId="0" fillId="5" borderId="6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7" xfId="0" applyFill="1" applyBorder="1"/>
    <xf numFmtId="0" fontId="0" fillId="5" borderId="8" xfId="0" applyFill="1" applyBorder="1"/>
    <xf numFmtId="0" fontId="0" fillId="5" borderId="1" xfId="0" applyFill="1" applyBorder="1"/>
    <xf numFmtId="0" fontId="0" fillId="5" borderId="2" xfId="0" applyFill="1" applyBorder="1"/>
    <xf numFmtId="0" fontId="0" fillId="5" borderId="9" xfId="0" applyFill="1" applyBorder="1"/>
    <xf numFmtId="0" fontId="1" fillId="6" borderId="0" xfId="0" applyFont="1" applyFill="1" applyAlignment="1">
      <alignment horizontal="center"/>
    </xf>
    <xf numFmtId="0" fontId="0" fillId="6" borderId="6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7" xfId="0" applyFill="1" applyBorder="1"/>
    <xf numFmtId="0" fontId="0" fillId="6" borderId="0" xfId="0" applyFill="1"/>
    <xf numFmtId="0" fontId="0" fillId="6" borderId="8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9" xfId="0" applyFill="1" applyBorder="1"/>
    <xf numFmtId="0" fontId="1" fillId="5" borderId="3" xfId="0" applyFont="1" applyFill="1" applyBorder="1"/>
    <xf numFmtId="0" fontId="1" fillId="5" borderId="2" xfId="0" applyFont="1" applyFill="1" applyBorder="1"/>
    <xf numFmtId="0" fontId="1" fillId="5" borderId="0" xfId="0" applyFont="1" applyFill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" fillId="8" borderId="3" xfId="0" applyFont="1" applyFill="1" applyBorder="1"/>
    <xf numFmtId="0" fontId="0" fillId="3" borderId="6" xfId="0" applyFill="1" applyBorder="1"/>
    <xf numFmtId="0" fontId="1" fillId="3" borderId="5" xfId="0" applyFont="1" applyFill="1" applyBorder="1" applyAlignment="1">
      <alignment horizontal="center"/>
    </xf>
    <xf numFmtId="0" fontId="1" fillId="3" borderId="12" xfId="0" applyFont="1" applyFill="1" applyBorder="1" applyAlignment="1">
      <alignment horizontal="center"/>
    </xf>
    <xf numFmtId="0" fontId="0" fillId="3" borderId="7" xfId="0" applyFill="1" applyBorder="1"/>
    <xf numFmtId="0" fontId="0" fillId="4" borderId="8" xfId="0" applyFill="1" applyBorder="1"/>
    <xf numFmtId="0" fontId="0" fillId="7" borderId="8" xfId="0" applyFill="1" applyBorder="1"/>
    <xf numFmtId="0" fontId="1" fillId="3" borderId="7" xfId="0" applyFont="1" applyFill="1" applyBorder="1"/>
    <xf numFmtId="0" fontId="0" fillId="3" borderId="1" xfId="0" applyFill="1" applyBorder="1"/>
    <xf numFmtId="0" fontId="1" fillId="8" borderId="9" xfId="0" applyFont="1" applyFill="1" applyBorder="1"/>
    <xf numFmtId="9" fontId="0" fillId="4" borderId="8" xfId="2" applyFont="1" applyFill="1" applyBorder="1"/>
    <xf numFmtId="164" fontId="0" fillId="4" borderId="8" xfId="2" applyNumberFormat="1" applyFont="1" applyFill="1" applyBorder="1"/>
    <xf numFmtId="0" fontId="0" fillId="7" borderId="10" xfId="0" applyFill="1" applyBorder="1"/>
    <xf numFmtId="0" fontId="0" fillId="7" borderId="11" xfId="0" applyFill="1" applyBorder="1"/>
    <xf numFmtId="2" fontId="0" fillId="7" borderId="10" xfId="0" applyNumberFormat="1" applyFill="1" applyBorder="1"/>
    <xf numFmtId="43" fontId="0" fillId="4" borderId="4" xfId="1" applyFont="1" applyFill="1" applyBorder="1"/>
    <xf numFmtId="43" fontId="0" fillId="4" borderId="8" xfId="1" applyFont="1" applyFill="1" applyBorder="1"/>
    <xf numFmtId="165" fontId="0" fillId="4" borderId="8" xfId="0" applyNumberFormat="1" applyFill="1" applyBorder="1"/>
    <xf numFmtId="165" fontId="0" fillId="7" borderId="8" xfId="0" applyNumberFormat="1" applyFill="1" applyBorder="1"/>
    <xf numFmtId="0" fontId="1" fillId="5" borderId="0" xfId="0" applyFont="1" applyFill="1" applyAlignment="1">
      <alignment horizontal="center"/>
    </xf>
    <xf numFmtId="0" fontId="1" fillId="5" borderId="0" xfId="0" applyFont="1" applyFill="1" applyAlignment="1">
      <alignment horizontal="center" vertical="center"/>
    </xf>
    <xf numFmtId="0" fontId="1" fillId="5" borderId="2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2" borderId="12" xfId="0" applyFont="1" applyFill="1" applyBorder="1" applyAlignment="1">
      <alignment horizontal="left"/>
    </xf>
    <xf numFmtId="0" fontId="1" fillId="5" borderId="3" xfId="0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Sheet1!$B$31</c:f>
              <c:strCache>
                <c:ptCount val="1"/>
                <c:pt idx="0">
                  <c:v>|V(S_10,t_24)-V_BS|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Sheet1!$A$32:$A$132</c:f>
              <c:numCache>
                <c:formatCode>General</c:formatCode>
                <c:ptCount val="101"/>
                <c:pt idx="0">
                  <c:v>-1</c:v>
                </c:pt>
                <c:pt idx="1">
                  <c:v>-0.98</c:v>
                </c:pt>
                <c:pt idx="2">
                  <c:v>-0.96</c:v>
                </c:pt>
                <c:pt idx="3">
                  <c:v>-0.94</c:v>
                </c:pt>
                <c:pt idx="4">
                  <c:v>-0.91999999999999993</c:v>
                </c:pt>
                <c:pt idx="5">
                  <c:v>-0.89999999999999991</c:v>
                </c:pt>
                <c:pt idx="6">
                  <c:v>-0.87999999999999989</c:v>
                </c:pt>
                <c:pt idx="7">
                  <c:v>-0.85999999999999988</c:v>
                </c:pt>
                <c:pt idx="8">
                  <c:v>-0.83999999999999986</c:v>
                </c:pt>
                <c:pt idx="9">
                  <c:v>-0.81999999999999984</c:v>
                </c:pt>
                <c:pt idx="10">
                  <c:v>-0.79999999999999982</c:v>
                </c:pt>
                <c:pt idx="11">
                  <c:v>-0.7799999999999998</c:v>
                </c:pt>
                <c:pt idx="12">
                  <c:v>-0.75999999999999979</c:v>
                </c:pt>
                <c:pt idx="13">
                  <c:v>-0.73999999999999977</c:v>
                </c:pt>
                <c:pt idx="14">
                  <c:v>-0.71999999999999975</c:v>
                </c:pt>
                <c:pt idx="15">
                  <c:v>-0.69999999999999973</c:v>
                </c:pt>
                <c:pt idx="16">
                  <c:v>-0.67999999999999972</c:v>
                </c:pt>
                <c:pt idx="17">
                  <c:v>-0.6599999999999997</c:v>
                </c:pt>
                <c:pt idx="18">
                  <c:v>-0.63999999999999968</c:v>
                </c:pt>
                <c:pt idx="19">
                  <c:v>-0.61999999999999966</c:v>
                </c:pt>
                <c:pt idx="20">
                  <c:v>-0.59999999999999964</c:v>
                </c:pt>
                <c:pt idx="21">
                  <c:v>-0.57999999999999963</c:v>
                </c:pt>
                <c:pt idx="22">
                  <c:v>-0.55999999999999961</c:v>
                </c:pt>
                <c:pt idx="23">
                  <c:v>-0.53999999999999959</c:v>
                </c:pt>
                <c:pt idx="24">
                  <c:v>-0.51999999999999957</c:v>
                </c:pt>
                <c:pt idx="25">
                  <c:v>-0.49999999999999956</c:v>
                </c:pt>
                <c:pt idx="26">
                  <c:v>-0.47999999999999954</c:v>
                </c:pt>
                <c:pt idx="27">
                  <c:v>-0.45999999999999952</c:v>
                </c:pt>
                <c:pt idx="28">
                  <c:v>-0.4399999999999995</c:v>
                </c:pt>
                <c:pt idx="29">
                  <c:v>-0.41999999999999948</c:v>
                </c:pt>
                <c:pt idx="30">
                  <c:v>-0.39999999999999947</c:v>
                </c:pt>
                <c:pt idx="31">
                  <c:v>-0.37999999999999945</c:v>
                </c:pt>
                <c:pt idx="32">
                  <c:v>-0.35999999999999943</c:v>
                </c:pt>
                <c:pt idx="33">
                  <c:v>-0.33999999999999941</c:v>
                </c:pt>
                <c:pt idx="34">
                  <c:v>-0.3199999999999994</c:v>
                </c:pt>
                <c:pt idx="35">
                  <c:v>-0.29999999999999938</c:v>
                </c:pt>
                <c:pt idx="36">
                  <c:v>-0.27999999999999936</c:v>
                </c:pt>
                <c:pt idx="37">
                  <c:v>-0.25999999999999934</c:v>
                </c:pt>
                <c:pt idx="38">
                  <c:v>-0.23999999999999935</c:v>
                </c:pt>
                <c:pt idx="39">
                  <c:v>-0.21999999999999936</c:v>
                </c:pt>
                <c:pt idx="40">
                  <c:v>-0.19999999999999937</c:v>
                </c:pt>
                <c:pt idx="41">
                  <c:v>-0.17999999999999938</c:v>
                </c:pt>
                <c:pt idx="42">
                  <c:v>-0.15999999999999939</c:v>
                </c:pt>
                <c:pt idx="43">
                  <c:v>-0.1399999999999994</c:v>
                </c:pt>
                <c:pt idx="44">
                  <c:v>-0.1199999999999994</c:v>
                </c:pt>
                <c:pt idx="45">
                  <c:v>-9.9999999999999395E-2</c:v>
                </c:pt>
                <c:pt idx="46">
                  <c:v>-7.9999999999999391E-2</c:v>
                </c:pt>
                <c:pt idx="47">
                  <c:v>-5.9999999999999387E-2</c:v>
                </c:pt>
                <c:pt idx="48">
                  <c:v>-3.9999999999999383E-2</c:v>
                </c:pt>
                <c:pt idx="49">
                  <c:v>-1.9999999999999383E-2</c:v>
                </c:pt>
                <c:pt idx="50" formatCode="0.00">
                  <c:v>6.1756155744774333E-16</c:v>
                </c:pt>
                <c:pt idx="51">
                  <c:v>2.0000000000000618E-2</c:v>
                </c:pt>
                <c:pt idx="52">
                  <c:v>4.0000000000000618E-2</c:v>
                </c:pt>
                <c:pt idx="53">
                  <c:v>6.0000000000000622E-2</c:v>
                </c:pt>
                <c:pt idx="54">
                  <c:v>8.0000000000000626E-2</c:v>
                </c:pt>
                <c:pt idx="55">
                  <c:v>0.10000000000000063</c:v>
                </c:pt>
                <c:pt idx="56">
                  <c:v>0.12000000000000063</c:v>
                </c:pt>
                <c:pt idx="57">
                  <c:v>0.14000000000000062</c:v>
                </c:pt>
                <c:pt idx="58">
                  <c:v>0.16000000000000061</c:v>
                </c:pt>
                <c:pt idx="59">
                  <c:v>0.1800000000000006</c:v>
                </c:pt>
                <c:pt idx="60">
                  <c:v>0.20000000000000059</c:v>
                </c:pt>
                <c:pt idx="61">
                  <c:v>0.22000000000000058</c:v>
                </c:pt>
                <c:pt idx="62">
                  <c:v>0.24000000000000057</c:v>
                </c:pt>
                <c:pt idx="63">
                  <c:v>0.26000000000000056</c:v>
                </c:pt>
                <c:pt idx="64">
                  <c:v>0.28000000000000058</c:v>
                </c:pt>
                <c:pt idx="65">
                  <c:v>0.3000000000000006</c:v>
                </c:pt>
                <c:pt idx="66">
                  <c:v>0.32000000000000062</c:v>
                </c:pt>
                <c:pt idx="67">
                  <c:v>0.34000000000000064</c:v>
                </c:pt>
                <c:pt idx="68">
                  <c:v>0.36000000000000065</c:v>
                </c:pt>
                <c:pt idx="69">
                  <c:v>0.38000000000000067</c:v>
                </c:pt>
                <c:pt idx="70">
                  <c:v>0.40000000000000069</c:v>
                </c:pt>
                <c:pt idx="71">
                  <c:v>0.42000000000000071</c:v>
                </c:pt>
                <c:pt idx="72">
                  <c:v>0.44000000000000072</c:v>
                </c:pt>
                <c:pt idx="73">
                  <c:v>0.46000000000000074</c:v>
                </c:pt>
                <c:pt idx="74">
                  <c:v>0.48000000000000076</c:v>
                </c:pt>
                <c:pt idx="75">
                  <c:v>0.50000000000000078</c:v>
                </c:pt>
                <c:pt idx="76">
                  <c:v>0.52000000000000079</c:v>
                </c:pt>
                <c:pt idx="77">
                  <c:v>0.54000000000000081</c:v>
                </c:pt>
                <c:pt idx="78">
                  <c:v>0.56000000000000083</c:v>
                </c:pt>
                <c:pt idx="79">
                  <c:v>0.58000000000000085</c:v>
                </c:pt>
                <c:pt idx="80">
                  <c:v>0.60000000000000087</c:v>
                </c:pt>
                <c:pt idx="81">
                  <c:v>0.62000000000000088</c:v>
                </c:pt>
                <c:pt idx="82">
                  <c:v>0.6400000000000009</c:v>
                </c:pt>
                <c:pt idx="83">
                  <c:v>0.66000000000000092</c:v>
                </c:pt>
                <c:pt idx="84">
                  <c:v>0.68000000000000094</c:v>
                </c:pt>
                <c:pt idx="85">
                  <c:v>0.70000000000000095</c:v>
                </c:pt>
                <c:pt idx="86">
                  <c:v>0.72000000000000097</c:v>
                </c:pt>
                <c:pt idx="87">
                  <c:v>0.74000000000000099</c:v>
                </c:pt>
                <c:pt idx="88">
                  <c:v>0.76000000000000101</c:v>
                </c:pt>
                <c:pt idx="89">
                  <c:v>0.78000000000000103</c:v>
                </c:pt>
                <c:pt idx="90">
                  <c:v>0.80000000000000104</c:v>
                </c:pt>
                <c:pt idx="91">
                  <c:v>0.82000000000000106</c:v>
                </c:pt>
                <c:pt idx="92">
                  <c:v>0.84000000000000108</c:v>
                </c:pt>
                <c:pt idx="93">
                  <c:v>0.8600000000000011</c:v>
                </c:pt>
                <c:pt idx="94">
                  <c:v>0.88000000000000111</c:v>
                </c:pt>
                <c:pt idx="95">
                  <c:v>0.90000000000000113</c:v>
                </c:pt>
                <c:pt idx="96">
                  <c:v>0.92000000000000115</c:v>
                </c:pt>
                <c:pt idx="97">
                  <c:v>0.94000000000000117</c:v>
                </c:pt>
                <c:pt idx="98">
                  <c:v>0.96000000000000119</c:v>
                </c:pt>
                <c:pt idx="99">
                  <c:v>0.9800000000000012</c:v>
                </c:pt>
                <c:pt idx="100">
                  <c:v>1.0000000000000011</c:v>
                </c:pt>
              </c:numCache>
            </c:numRef>
          </c:xVal>
          <c:yVal>
            <c:numRef>
              <c:f>Sheet1!$B$32:$B$132</c:f>
              <c:numCache>
                <c:formatCode>General</c:formatCode>
                <c:ptCount val="101"/>
                <c:pt idx="0">
                  <c:v>6.6005078832205299E-3</c:v>
                </c:pt>
                <c:pt idx="1">
                  <c:v>6.5279359111989343E-3</c:v>
                </c:pt>
                <c:pt idx="2">
                  <c:v>6.4554212272598388E-3</c:v>
                </c:pt>
                <c:pt idx="3">
                  <c:v>6.3829642344994664E-3</c:v>
                </c:pt>
                <c:pt idx="4">
                  <c:v>6.3105653391142269E-3</c:v>
                </c:pt>
                <c:pt idx="5">
                  <c:v>6.2382249503967202E-3</c:v>
                </c:pt>
                <c:pt idx="6">
                  <c:v>6.1659434807517233E-3</c:v>
                </c:pt>
                <c:pt idx="7">
                  <c:v>6.0937213457630257E-3</c:v>
                </c:pt>
                <c:pt idx="8">
                  <c:v>6.0215589641725575E-3</c:v>
                </c:pt>
                <c:pt idx="9">
                  <c:v>5.9494567579185809E-3</c:v>
                </c:pt>
                <c:pt idx="10">
                  <c:v>5.8774151522007489E-3</c:v>
                </c:pt>
                <c:pt idx="11">
                  <c:v>5.8054345754481318E-3</c:v>
                </c:pt>
                <c:pt idx="12">
                  <c:v>5.7335154593936011E-3</c:v>
                </c:pt>
                <c:pt idx="13">
                  <c:v>5.6616582390642822E-3</c:v>
                </c:pt>
                <c:pt idx="14">
                  <c:v>5.5898633528370656E-3</c:v>
                </c:pt>
                <c:pt idx="15">
                  <c:v>5.5181312424243956E-3</c:v>
                </c:pt>
                <c:pt idx="16">
                  <c:v>5.4464623529595357E-3</c:v>
                </c:pt>
                <c:pt idx="17">
                  <c:v>5.3748571329617079E-3</c:v>
                </c:pt>
                <c:pt idx="18">
                  <c:v>5.3033160344024832E-3</c:v>
                </c:pt>
                <c:pt idx="19">
                  <c:v>5.2318395127206596E-3</c:v>
                </c:pt>
                <c:pt idx="20">
                  <c:v>5.160428026820707E-3</c:v>
                </c:pt>
                <c:pt idx="21">
                  <c:v>5.0890820391551461E-3</c:v>
                </c:pt>
                <c:pt idx="22">
                  <c:v>5.0178020156910197E-3</c:v>
                </c:pt>
                <c:pt idx="23">
                  <c:v>4.9465884259427551E-3</c:v>
                </c:pt>
                <c:pt idx="24">
                  <c:v>4.8754417430716401E-3</c:v>
                </c:pt>
                <c:pt idx="25">
                  <c:v>4.8043624437854593E-3</c:v>
                </c:pt>
                <c:pt idx="26">
                  <c:v>4.733351008481046E-3</c:v>
                </c:pt>
                <c:pt idx="27">
                  <c:v>4.6624079211603497E-3</c:v>
                </c:pt>
                <c:pt idx="28">
                  <c:v>4.5915336695461217E-3</c:v>
                </c:pt>
                <c:pt idx="29">
                  <c:v>4.5207287450490519E-3</c:v>
                </c:pt>
                <c:pt idx="30">
                  <c:v>4.4499936428219478E-3</c:v>
                </c:pt>
                <c:pt idx="31">
                  <c:v>4.379328861725762E-3</c:v>
                </c:pt>
                <c:pt idx="32">
                  <c:v>4.3087349044299561E-3</c:v>
                </c:pt>
                <c:pt idx="33">
                  <c:v>4.2382122773367836E-3</c:v>
                </c:pt>
                <c:pt idx="34">
                  <c:v>4.1677614906840965E-3</c:v>
                </c:pt>
                <c:pt idx="35">
                  <c:v>4.0973830585169235E-3</c:v>
                </c:pt>
                <c:pt idx="36">
                  <c:v>4.0270774987143376E-3</c:v>
                </c:pt>
                <c:pt idx="37">
                  <c:v>3.9568453329505981E-3</c:v>
                </c:pt>
                <c:pt idx="38">
                  <c:v>3.8866870868157211E-3</c:v>
                </c:pt>
                <c:pt idx="39">
                  <c:v>3.8166032896831403E-3</c:v>
                </c:pt>
                <c:pt idx="40">
                  <c:v>3.746594474834497E-3</c:v>
                </c:pt>
                <c:pt idx="41">
                  <c:v>3.6766611793750403E-3</c:v>
                </c:pt>
                <c:pt idx="42">
                  <c:v>3.6068039442962441E-3</c:v>
                </c:pt>
                <c:pt idx="43">
                  <c:v>3.5370233144111918E-3</c:v>
                </c:pt>
                <c:pt idx="44">
                  <c:v>3.4673198383825543E-3</c:v>
                </c:pt>
                <c:pt idx="45">
                  <c:v>3.3976940686921697E-3</c:v>
                </c:pt>
                <c:pt idx="46">
                  <c:v>3.3281465616281647E-3</c:v>
                </c:pt>
                <c:pt idx="47">
                  <c:v>3.2586778772469849E-3</c:v>
                </c:pt>
                <c:pt idx="48">
                  <c:v>3.1892885793671777E-3</c:v>
                </c:pt>
                <c:pt idx="49">
                  <c:v>3.1199792354927869E-3</c:v>
                </c:pt>
                <c:pt idx="50">
                  <c:v>3.05075041684022E-3</c:v>
                </c:pt>
                <c:pt idx="51">
                  <c:v>2.981602698232555E-3</c:v>
                </c:pt>
                <c:pt idx="52">
                  <c:v>2.9125366580537992E-3</c:v>
                </c:pt>
                <c:pt idx="53">
                  <c:v>2.8435528782246866E-3</c:v>
                </c:pt>
                <c:pt idx="54">
                  <c:v>2.7746519440843276E-3</c:v>
                </c:pt>
                <c:pt idx="55">
                  <c:v>2.7058344443966487E-3</c:v>
                </c:pt>
                <c:pt idx="56">
                  <c:v>2.6371009711627647E-3</c:v>
                </c:pt>
                <c:pt idx="57">
                  <c:v>2.5684521196522869E-3</c:v>
                </c:pt>
                <c:pt idx="58">
                  <c:v>2.4998884882132533E-3</c:v>
                </c:pt>
                <c:pt idx="59">
                  <c:v>2.4314106782206135E-3</c:v>
                </c:pt>
                <c:pt idx="60">
                  <c:v>2.3630192940018446E-3</c:v>
                </c:pt>
                <c:pt idx="61">
                  <c:v>2.2947149426173485E-3</c:v>
                </c:pt>
                <c:pt idx="62">
                  <c:v>2.2264982338564554E-3</c:v>
                </c:pt>
                <c:pt idx="63">
                  <c:v>2.1583697800329205E-3</c:v>
                </c:pt>
                <c:pt idx="64">
                  <c:v>2.090330195904988E-3</c:v>
                </c:pt>
                <c:pt idx="65">
                  <c:v>2.022380098473997E-3</c:v>
                </c:pt>
                <c:pt idx="66">
                  <c:v>1.9545201068895679E-3</c:v>
                </c:pt>
                <c:pt idx="67">
                  <c:v>1.8867508422766299E-3</c:v>
                </c:pt>
                <c:pt idx="68">
                  <c:v>1.8190729275635587E-3</c:v>
                </c:pt>
                <c:pt idx="69">
                  <c:v>1.7514869873294092E-3</c:v>
                </c:pt>
                <c:pt idx="70">
                  <c:v>1.6839936476595874E-3</c:v>
                </c:pt>
                <c:pt idx="71">
                  <c:v>1.6165935358789518E-3</c:v>
                </c:pt>
                <c:pt idx="72">
                  <c:v>1.5492872804865332E-3</c:v>
                </c:pt>
                <c:pt idx="73">
                  <c:v>1.4820755108850836E-3</c:v>
                </c:pt>
                <c:pt idx="74">
                  <c:v>1.4149588572291982E-3</c:v>
                </c:pt>
                <c:pt idx="75">
                  <c:v>1.3479379501819544E-3</c:v>
                </c:pt>
                <c:pt idx="76">
                  <c:v>1.2810134207830171E-3</c:v>
                </c:pt>
                <c:pt idx="77">
                  <c:v>1.2141859001877364E-3</c:v>
                </c:pt>
                <c:pt idx="78">
                  <c:v>1.1474560194866257E-3</c:v>
                </c:pt>
                <c:pt idx="79">
                  <c:v>1.080824409476433E-3</c:v>
                </c:pt>
                <c:pt idx="80">
                  <c:v>1.0142917004787311E-3</c:v>
                </c:pt>
                <c:pt idx="81">
                  <c:v>9.4785852206880072E-4</c:v>
                </c:pt>
                <c:pt idx="82">
                  <c:v>8.8152550291220599E-4</c:v>
                </c:pt>
                <c:pt idx="83">
                  <c:v>8.1529327051277356E-4</c:v>
                </c:pt>
                <c:pt idx="84">
                  <c:v>7.4916245100098422E-4</c:v>
                </c:pt>
                <c:pt idx="85">
                  <c:v>6.8313366891703531E-4</c:v>
                </c:pt>
                <c:pt idx="86">
                  <c:v>6.1720754695659963E-4</c:v>
                </c:pt>
                <c:pt idx="87">
                  <c:v>5.5138470580584631E-4</c:v>
                </c:pt>
                <c:pt idx="88">
                  <c:v>4.8566576384767579E-4</c:v>
                </c:pt>
                <c:pt idx="89">
                  <c:v>4.200513369838621E-4</c:v>
                </c:pt>
                <c:pt idx="90">
                  <c:v>3.5454203840967757E-4</c:v>
                </c:pt>
                <c:pt idx="91">
                  <c:v>2.8913847836542494E-4</c:v>
                </c:pt>
                <c:pt idx="92">
                  <c:v>2.238412639490317E-4</c:v>
                </c:pt>
                <c:pt idx="93">
                  <c:v>1.5865099883471956E-4</c:v>
                </c:pt>
                <c:pt idx="94">
                  <c:v>9.3568283140221808E-5</c:v>
                </c:pt>
                <c:pt idx="95">
                  <c:v>2.8593713160995904E-5</c:v>
                </c:pt>
                <c:pt idx="96">
                  <c:v>-3.6272118856262026E-5</c:v>
                </c:pt>
                <c:pt idx="97">
                  <c:v>-1.0102862491079279E-4</c:v>
                </c:pt>
                <c:pt idx="98">
                  <c:v>-1.6567522142474367E-4</c:v>
                </c:pt>
                <c:pt idx="99">
                  <c:v>-2.3021132951162038E-4</c:v>
                </c:pt>
                <c:pt idx="100">
                  <c:v>-2.9463637512039398E-4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9D-9847-86B9-412248C922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6580800"/>
        <c:axId val="209420479"/>
      </c:scatterChart>
      <c:valAx>
        <c:axId val="706580800"/>
        <c:scaling>
          <c:orientation val="minMax"/>
          <c:max val="1.2"/>
          <c:min val="-1.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20479"/>
        <c:crosses val="autoZero"/>
        <c:crossBetween val="midCat"/>
        <c:majorUnit val="0.1"/>
        <c:minorUnit val="0.01"/>
      </c:valAx>
      <c:valAx>
        <c:axId val="209420479"/>
        <c:scaling>
          <c:orientation val="minMax"/>
          <c:min val="-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6580800"/>
        <c:crosses val="autoZero"/>
        <c:crossBetween val="midCat"/>
        <c:majorUnit val="5.0000000000000001E-4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27</xdr:row>
          <xdr:rowOff>0</xdr:rowOff>
        </xdr:from>
        <xdr:to>
          <xdr:col>1</xdr:col>
          <xdr:colOff>927100</xdr:colOff>
          <xdr:row>28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Difference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28222</xdr:colOff>
      <xdr:row>30</xdr:row>
      <xdr:rowOff>46567</xdr:rowOff>
    </xdr:from>
    <xdr:to>
      <xdr:col>16</xdr:col>
      <xdr:colOff>578556</xdr:colOff>
      <xdr:row>65</xdr:row>
      <xdr:rowOff>134057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CD0B3-90F1-0547-A3F5-1A63FC97B2BC}">
  <sheetPr codeName="Sheet1"/>
  <dimension ref="A1:AX170"/>
  <sheetViews>
    <sheetView tabSelected="1" zoomScale="50" zoomScaleNormal="50" workbookViewId="0">
      <selection sqref="A1:C1"/>
    </sheetView>
  </sheetViews>
  <sheetFormatPr baseColWidth="10" defaultRowHeight="16" x14ac:dyDescent="0.2"/>
  <cols>
    <col min="1" max="1" width="13" bestFit="1" customWidth="1"/>
    <col min="2" max="2" width="19.33203125" bestFit="1" customWidth="1"/>
    <col min="4" max="4" width="11" bestFit="1" customWidth="1"/>
    <col min="5" max="5" width="13.33203125" bestFit="1" customWidth="1"/>
    <col min="6" max="6" width="11.1640625" bestFit="1" customWidth="1"/>
    <col min="7" max="7" width="13.6640625" bestFit="1" customWidth="1"/>
    <col min="8" max="13" width="13.33203125" bestFit="1" customWidth="1"/>
    <col min="14" max="19" width="11.1640625" bestFit="1" customWidth="1"/>
    <col min="20" max="21" width="11" bestFit="1" customWidth="1"/>
    <col min="22" max="22" width="11.1640625" bestFit="1" customWidth="1"/>
    <col min="23" max="23" width="11" bestFit="1" customWidth="1"/>
    <col min="24" max="26" width="13.5" bestFit="1" customWidth="1"/>
    <col min="27" max="27" width="13.33203125" bestFit="1" customWidth="1"/>
    <col min="28" max="31" width="13.5" bestFit="1" customWidth="1"/>
    <col min="32" max="40" width="11" bestFit="1" customWidth="1"/>
  </cols>
  <sheetData>
    <row r="1" spans="1:50" x14ac:dyDescent="0.2">
      <c r="A1" s="50" t="s">
        <v>0</v>
      </c>
      <c r="B1" s="51"/>
      <c r="C1" s="51"/>
      <c r="D1" s="51" t="s">
        <v>1</v>
      </c>
      <c r="E1" s="51"/>
      <c r="F1" s="52" t="str">
        <f ca="1">"Date: " &amp; TEXT(TODAY(), "dddd, mmmm dd, yyyy")</f>
        <v>Date: Sunday, April 20, 2025</v>
      </c>
      <c r="G1" s="52"/>
      <c r="H1" s="52"/>
      <c r="I1" s="53"/>
    </row>
    <row r="2" spans="1:50" x14ac:dyDescent="0.2">
      <c r="A2" s="29" t="s">
        <v>3</v>
      </c>
      <c r="B2" s="43">
        <v>120</v>
      </c>
      <c r="D2" s="54" t="s">
        <v>16</v>
      </c>
      <c r="E2" s="54"/>
      <c r="F2" s="49" t="s">
        <v>122</v>
      </c>
      <c r="G2" s="49"/>
      <c r="AB2" s="47" t="s">
        <v>62</v>
      </c>
      <c r="AC2" s="47"/>
      <c r="AD2" s="49" t="s">
        <v>123</v>
      </c>
      <c r="AE2" s="49"/>
    </row>
    <row r="3" spans="1:50" x14ac:dyDescent="0.2">
      <c r="A3" s="32" t="s">
        <v>2</v>
      </c>
      <c r="B3" s="44">
        <v>119</v>
      </c>
      <c r="D3" s="2" t="s">
        <v>17</v>
      </c>
      <c r="E3" s="1">
        <f t="shared" ref="E3:E25" si="0">E4+$B$14</f>
        <v>9.5890410958904105E-5</v>
      </c>
      <c r="F3" s="5">
        <v>0</v>
      </c>
      <c r="G3" s="6" cm="1">
        <f t="array" ref="G3:Y3">TRANSPOSE(MMULT(_xlfn.ANCHORARRAY($X$90), TRANSPOSE(G4:Y4))+MMULT(_xlfn.ANCHORARRAY($D$90), TRANSPOSE(Y42:AQ42)))</f>
        <v>4.948733094060405E-6</v>
      </c>
      <c r="H3" s="6">
        <v>1.8142413636664834E-5</v>
      </c>
      <c r="I3" s="6">
        <v>5.7326160684422785E-5</v>
      </c>
      <c r="J3" s="6">
        <v>1.6419889938270837E-4</v>
      </c>
      <c r="K3" s="6">
        <v>4.2557878617815835E-4</v>
      </c>
      <c r="L3" s="6">
        <v>9.9392010950735557E-4</v>
      </c>
      <c r="M3" s="6">
        <v>2.0859628230964892E-3</v>
      </c>
      <c r="N3" s="6">
        <v>3.93429300306286E-3</v>
      </c>
      <c r="O3" s="6">
        <v>6.6945315952996499E-3</v>
      </c>
      <c r="P3" s="23">
        <v>1.0362637936801342E-2</v>
      </c>
      <c r="Q3" s="6">
        <v>1.477091116547272E-2</v>
      </c>
      <c r="R3" s="6">
        <v>1.9667757130982878E-2</v>
      </c>
      <c r="S3" s="6">
        <v>2.4815241354951952E-2</v>
      </c>
      <c r="T3" s="6">
        <v>3.0043714487793444E-2</v>
      </c>
      <c r="U3" s="6">
        <v>3.5255751999911239E-2</v>
      </c>
      <c r="V3" s="6">
        <v>4.0404786272581372E-2</v>
      </c>
      <c r="W3" s="6">
        <v>4.5472114028906475E-2</v>
      </c>
      <c r="X3" s="6">
        <v>5.045167436640198E-2</v>
      </c>
      <c r="Y3" s="6">
        <v>5.5342319903896237E-2</v>
      </c>
      <c r="Z3" s="7">
        <f t="shared" ref="Z3:Z26" si="1">EXP(0.5*($B$16+1)*Z$28+0.25*($B$16+1)^2*E3) - EXP(0.5*($B$16-1)*Z$28+0.25*($B$16-1)^2*E3)</f>
        <v>6.014456593865436E-2</v>
      </c>
      <c r="AB3" s="2" t="s">
        <v>65</v>
      </c>
      <c r="AC3" s="1">
        <f t="shared" ref="AC3:AC27" si="2">$B$8-2*E3/$B$4^2</f>
        <v>0</v>
      </c>
      <c r="AD3" s="5">
        <f t="shared" ref="AD3:AD27" si="3">$B$3*EXP($B$18*F$28+$B$19*$E3)*F3</f>
        <v>0</v>
      </c>
      <c r="AE3" s="6">
        <f t="shared" ref="AE3:AE27" si="4">$B$3*EXP($B$18*G$28+$B$19*$E3)*G3</f>
        <v>5.3885649597093413E-4</v>
      </c>
      <c r="AF3" s="6">
        <f t="shared" ref="AF3:AF27" si="5">$B$3*EXP($B$18*H$28+$B$19*$E3)*H3</f>
        <v>1.9986831802222571E-3</v>
      </c>
      <c r="AG3" s="6">
        <f t="shared" ref="AG3:AG27" si="6">$B$3*EXP($B$18*I$28+$B$19*$E3)*I3</f>
        <v>6.3895688139307657E-3</v>
      </c>
      <c r="AH3" s="6">
        <f t="shared" ref="AH3:AH27" si="7">$B$3*EXP($B$18*J$28+$B$19*$E3)*J3</f>
        <v>1.8516493138215462E-2</v>
      </c>
      <c r="AI3" s="6">
        <f t="shared" ref="AI3:AI27" si="8">$B$3*EXP($B$18*K$28+$B$19*$E3)*K3</f>
        <v>4.8555482055352372E-2</v>
      </c>
      <c r="AJ3" s="6">
        <f t="shared" ref="AJ3:AJ27" si="9">$B$3*EXP($B$18*L$28+$B$19*$E3)*L3</f>
        <v>0.11473068271042951</v>
      </c>
      <c r="AK3" s="6">
        <f t="shared" ref="AK3:AK27" si="10">$B$3*EXP($B$18*M$28+$B$19*$E3)*M3</f>
        <v>0.2436152471765701</v>
      </c>
      <c r="AL3" s="6">
        <f t="shared" ref="AL3:AL27" si="11">$B$3*EXP($B$18*N$28+$B$19*$E3)*N3</f>
        <v>0.46487308711683673</v>
      </c>
      <c r="AM3" s="6">
        <f t="shared" ref="AM3:AM27" si="12">$B$3*EXP($B$18*O$28+$B$19*$E3)*O3</f>
        <v>0.80030900056492427</v>
      </c>
      <c r="AN3" s="28">
        <f t="shared" ref="AN3:AN27" si="13">$B$3*EXP($B$18*P$28+$B$19*$E3)*P3</f>
        <v>1.25336519874285</v>
      </c>
      <c r="AO3" s="6">
        <f t="shared" ref="AO3:AO27" si="14">$B$3*EXP($B$18*Q$28+$B$19*$E3)*Q3</f>
        <v>1.8075253435364129</v>
      </c>
      <c r="AP3" s="6">
        <f t="shared" ref="AP3:AP27" si="15">$B$3*EXP($B$18*R$28+$B$19*$E3)*R3</f>
        <v>2.4350155981433979</v>
      </c>
      <c r="AQ3" s="6">
        <f t="shared" ref="AQ3:AQ27" si="16">$B$3*EXP($B$18*S$28+$B$19*$E3)*S3</f>
        <v>3.1083879457378352</v>
      </c>
      <c r="AR3" s="6">
        <f t="shared" ref="AR3:AR27" si="17">$B$3*EXP($B$18*T$28+$B$19*$E3)*T3</f>
        <v>3.8075020027754345</v>
      </c>
      <c r="AS3" s="6">
        <f t="shared" ref="AS3:AS27" si="18">$B$3*EXP($B$18*U$28+$B$19*$E3)*U3</f>
        <v>4.5204981788700183</v>
      </c>
      <c r="AT3" s="6">
        <f t="shared" ref="AT3:AT27" si="19">$B$3*EXP($B$18*V$28+$B$19*$E3)*V3</f>
        <v>5.2415403290591414</v>
      </c>
      <c r="AU3" s="6">
        <f t="shared" ref="AU3:AU27" si="20">$B$3*EXP($B$18*W$28+$B$19*$E3)*W3</f>
        <v>5.9681683455545249</v>
      </c>
      <c r="AV3" s="6">
        <f t="shared" ref="AV3:AV27" si="21">$B$3*EXP($B$18*X$28+$B$19*$E3)*X3</f>
        <v>6.6994832447133854</v>
      </c>
      <c r="AW3" s="6">
        <f t="shared" ref="AW3:AW27" si="22">$B$3*EXP($B$18*Y$28+$B$19*$E3)*Y3</f>
        <v>7.4352039100048302</v>
      </c>
      <c r="AX3" s="7">
        <f t="shared" ref="AX3:AX27" si="23">$B$3*EXP($B$18*Z$28+$B$19*$E3)*Z3</f>
        <v>8.1752627526338681</v>
      </c>
    </row>
    <row r="4" spans="1:50" x14ac:dyDescent="0.2">
      <c r="A4" s="32" t="s">
        <v>4</v>
      </c>
      <c r="B4" s="38">
        <v>0.1</v>
      </c>
      <c r="D4" s="2" t="s">
        <v>18</v>
      </c>
      <c r="E4" s="1">
        <f t="shared" si="0"/>
        <v>9.1894977168949772E-5</v>
      </c>
      <c r="F4" s="8">
        <v>0</v>
      </c>
      <c r="G4" s="1" cm="1">
        <f t="array" ref="G4:Y4">TRANSPOSE(MMULT(_xlfn.ANCHORARRAY($X$90), TRANSPOSE(G5:Y5))+MMULT(_xlfn.ANCHORARRAY($D$90), TRANSPOSE(Y43:AQ43)))</f>
        <v>4.0450582184412054E-6</v>
      </c>
      <c r="H4" s="1">
        <v>1.5256196846323224E-5</v>
      </c>
      <c r="I4" s="1">
        <v>4.9698032498258707E-5</v>
      </c>
      <c r="J4" s="1">
        <v>1.4653891939308354E-4</v>
      </c>
      <c r="K4" s="1">
        <v>3.9004119892845009E-4</v>
      </c>
      <c r="L4" s="1">
        <v>9.3263048024208692E-4</v>
      </c>
      <c r="M4" s="1">
        <v>1.9967351959479288E-3</v>
      </c>
      <c r="N4" s="1">
        <v>3.826216358690222E-3</v>
      </c>
      <c r="O4" s="1">
        <v>6.5868990839558147E-3</v>
      </c>
      <c r="P4" s="3">
        <v>1.0275249909736738E-2</v>
      </c>
      <c r="Q4" s="1">
        <v>1.4713725717560555E-2</v>
      </c>
      <c r="R4" s="1">
        <v>1.9638854010162885E-2</v>
      </c>
      <c r="S4" s="1">
        <v>2.4806250079604051E-2</v>
      </c>
      <c r="T4" s="1">
        <v>3.0045992027499288E-2</v>
      </c>
      <c r="U4" s="1">
        <v>3.5263329047596402E-2</v>
      </c>
      <c r="V4" s="1">
        <v>4.0414452377349711E-2</v>
      </c>
      <c r="W4" s="1">
        <v>4.5482439077000142E-2</v>
      </c>
      <c r="X4" s="1">
        <v>5.0462112607096578E-2</v>
      </c>
      <c r="Y4" s="1">
        <v>5.5352689992690995E-2</v>
      </c>
      <c r="Z4" s="9">
        <f t="shared" si="1"/>
        <v>6.01548181806566E-2</v>
      </c>
      <c r="AB4" s="2" t="s">
        <v>66</v>
      </c>
      <c r="AC4" s="1">
        <f t="shared" si="2"/>
        <v>7.9908675799087239E-4</v>
      </c>
      <c r="AD4" s="8">
        <f t="shared" si="3"/>
        <v>0</v>
      </c>
      <c r="AE4" s="1">
        <f t="shared" si="4"/>
        <v>4.4046615587164603E-4</v>
      </c>
      <c r="AF4" s="1">
        <f t="shared" si="5"/>
        <v>1.6807528368372898E-3</v>
      </c>
      <c r="AG4" s="1">
        <f t="shared" si="6"/>
        <v>5.5394489804763813E-3</v>
      </c>
      <c r="AH4" s="1">
        <f t="shared" si="7"/>
        <v>1.6525330632265911E-2</v>
      </c>
      <c r="AI4" s="1">
        <f t="shared" si="8"/>
        <v>4.4501787670518267E-2</v>
      </c>
      <c r="AJ4" s="1">
        <f t="shared" si="9"/>
        <v>0.10765801828157052</v>
      </c>
      <c r="AK4" s="1">
        <f t="shared" si="10"/>
        <v>0.23319919732745753</v>
      </c>
      <c r="AL4" s="1">
        <f t="shared" si="11"/>
        <v>0.45211186434308553</v>
      </c>
      <c r="AM4" s="1">
        <f t="shared" si="12"/>
        <v>0.78745762260547958</v>
      </c>
      <c r="AN4" s="3">
        <f t="shared" si="13"/>
        <v>1.242820409739692</v>
      </c>
      <c r="AO4" s="1">
        <f t="shared" si="14"/>
        <v>1.8005634954498095</v>
      </c>
      <c r="AP4" s="1">
        <f t="shared" si="15"/>
        <v>2.4314857490857866</v>
      </c>
      <c r="AQ4" s="1">
        <f t="shared" si="16"/>
        <v>3.1073237623348366</v>
      </c>
      <c r="AR4" s="1">
        <f t="shared" si="17"/>
        <v>3.8078667097241747</v>
      </c>
      <c r="AS4" s="1">
        <f t="shared" si="18"/>
        <v>4.5215600362066048</v>
      </c>
      <c r="AT4" s="1">
        <f t="shared" si="19"/>
        <v>5.2428990087738701</v>
      </c>
      <c r="AU4" s="1">
        <f t="shared" si="20"/>
        <v>5.9696427529016072</v>
      </c>
      <c r="AV4" s="1">
        <f t="shared" si="21"/>
        <v>6.7010032055496538</v>
      </c>
      <c r="AW4" s="1">
        <f t="shared" si="22"/>
        <v>7.436745688185689</v>
      </c>
      <c r="AX4" s="9">
        <f t="shared" si="23"/>
        <v>8.1768196559026087</v>
      </c>
    </row>
    <row r="5" spans="1:50" x14ac:dyDescent="0.2">
      <c r="A5" s="32" t="s">
        <v>89</v>
      </c>
      <c r="B5" s="39">
        <v>5.0000000000000001E-3</v>
      </c>
      <c r="D5" s="2" t="s">
        <v>19</v>
      </c>
      <c r="E5" s="1">
        <f t="shared" si="0"/>
        <v>8.7899543378995438E-5</v>
      </c>
      <c r="F5" s="8">
        <v>0</v>
      </c>
      <c r="G5" s="1" cm="1">
        <f t="array" ref="G5:Y5">TRANSPOSE(MMULT(_xlfn.ANCHORARRAY($X$90), TRANSPOSE(G6:Y6))+MMULT(_xlfn.ANCHORARRAY($D$90), TRANSPOSE(Y44:AQ44)))</f>
        <v>3.2636389798830827E-6</v>
      </c>
      <c r="H5" s="1">
        <v>1.2687310712355021E-5</v>
      </c>
      <c r="I5" s="1">
        <v>4.2689377432375993E-5</v>
      </c>
      <c r="J5" s="1">
        <v>1.2981610810997301E-4</v>
      </c>
      <c r="K5" s="1">
        <v>3.5546776425867473E-4</v>
      </c>
      <c r="L5" s="1">
        <v>8.7163845860785915E-4</v>
      </c>
      <c r="M5" s="1">
        <v>1.9064352228595634E-3</v>
      </c>
      <c r="N5" s="1">
        <v>3.7158069522312516E-3</v>
      </c>
      <c r="O5" s="1">
        <v>6.4768693899938772E-3</v>
      </c>
      <c r="P5" s="3">
        <v>1.0186680483534296E-2</v>
      </c>
      <c r="Q5" s="1">
        <v>1.4656805726844892E-2</v>
      </c>
      <c r="R5" s="1">
        <v>1.9610976671485408E-2</v>
      </c>
      <c r="S5" s="1">
        <v>2.4798292462295736E-2</v>
      </c>
      <c r="T5" s="1">
        <v>3.0048969436262601E-2</v>
      </c>
      <c r="U5" s="1">
        <v>3.5271275411160527E-2</v>
      </c>
      <c r="V5" s="1">
        <v>4.0424279933113094E-2</v>
      </c>
      <c r="W5" s="1">
        <v>4.5492824596949775E-2</v>
      </c>
      <c r="X5" s="1">
        <v>5.0472570571217859E-2</v>
      </c>
      <c r="Y5" s="1">
        <v>5.5363065387480051E-2</v>
      </c>
      <c r="Z5" s="9">
        <f t="shared" si="1"/>
        <v>6.0165070214008964E-2</v>
      </c>
      <c r="AB5" s="2" t="s">
        <v>67</v>
      </c>
      <c r="AC5" s="1">
        <f t="shared" si="2"/>
        <v>1.5981735159817378E-3</v>
      </c>
      <c r="AD5" s="8">
        <f t="shared" si="3"/>
        <v>0</v>
      </c>
      <c r="AE5" s="1">
        <f t="shared" si="4"/>
        <v>3.5538455960541093E-4</v>
      </c>
      <c r="AF5" s="1">
        <f t="shared" si="5"/>
        <v>1.397770341357129E-3</v>
      </c>
      <c r="AG5" s="1">
        <f t="shared" si="6"/>
        <v>4.7583443562680024E-3</v>
      </c>
      <c r="AH5" s="1">
        <f t="shared" si="7"/>
        <v>1.4639776063097978E-2</v>
      </c>
      <c r="AI5" s="1">
        <f t="shared" si="8"/>
        <v>4.0557938579888334E-2</v>
      </c>
      <c r="AJ5" s="1">
        <f t="shared" si="9"/>
        <v>0.10061942618584971</v>
      </c>
      <c r="AK5" s="1">
        <f t="shared" si="10"/>
        <v>0.22265748916112948</v>
      </c>
      <c r="AL5" s="1">
        <f t="shared" si="11"/>
        <v>0.43907448309470437</v>
      </c>
      <c r="AM5" s="1">
        <f t="shared" si="12"/>
        <v>0.77431914418895098</v>
      </c>
      <c r="AN5" s="3">
        <f t="shared" si="13"/>
        <v>1.2321323025150956</v>
      </c>
      <c r="AO5" s="1">
        <f t="shared" si="14"/>
        <v>1.7936338539388093</v>
      </c>
      <c r="AP5" s="1">
        <f t="shared" si="15"/>
        <v>2.4280827626064077</v>
      </c>
      <c r="AQ5" s="1">
        <f t="shared" si="16"/>
        <v>3.1063890176349651</v>
      </c>
      <c r="AR5" s="1">
        <f t="shared" si="17"/>
        <v>3.8083201291204585</v>
      </c>
      <c r="AS5" s="1">
        <f t="shared" si="18"/>
        <v>4.5226692897986025</v>
      </c>
      <c r="AT5" s="1">
        <f t="shared" si="19"/>
        <v>5.2442786858671804</v>
      </c>
      <c r="AU5" s="1">
        <f t="shared" si="20"/>
        <v>5.9711251539625962</v>
      </c>
      <c r="AV5" s="1">
        <f t="shared" si="21"/>
        <v>6.7025258436224142</v>
      </c>
      <c r="AW5" s="1">
        <f t="shared" si="22"/>
        <v>7.4382882378858266</v>
      </c>
      <c r="AX5" s="9">
        <f t="shared" si="23"/>
        <v>8.1783765897520411</v>
      </c>
    </row>
    <row r="6" spans="1:50" x14ac:dyDescent="0.2">
      <c r="A6" s="32" t="s">
        <v>13</v>
      </c>
      <c r="B6" s="38">
        <v>0.02</v>
      </c>
      <c r="D6" s="2" t="s">
        <v>20</v>
      </c>
      <c r="E6" s="1">
        <f t="shared" si="0"/>
        <v>8.3904109589041104E-5</v>
      </c>
      <c r="F6" s="8">
        <v>0</v>
      </c>
      <c r="G6" s="1" cm="1">
        <f t="array" ref="G6:Y6">TRANSPOSE(MMULT(_xlfn.ANCHORARRAY($X$90), TRANSPOSE(G7:Y7))+MMULT(_xlfn.ANCHORARRAY($D$90), TRANSPOSE(Y45:AQ45)))</f>
        <v>2.5956920155129118E-6</v>
      </c>
      <c r="H6" s="1">
        <v>1.0422338848509455E-5</v>
      </c>
      <c r="I6" s="1">
        <v>3.6296810624392175E-5</v>
      </c>
      <c r="J6" s="1">
        <v>1.1406373048132267E-4</v>
      </c>
      <c r="K6" s="1">
        <v>3.219425288928087E-4</v>
      </c>
      <c r="L6" s="1">
        <v>8.1103262056272767E-4</v>
      </c>
      <c r="M6" s="1">
        <v>1.8150522757431548E-3</v>
      </c>
      <c r="N6" s="1">
        <v>3.6029171252561403E-3</v>
      </c>
      <c r="O6" s="1">
        <v>6.364283960492283E-3</v>
      </c>
      <c r="P6" s="3">
        <v>1.0096903721563025E-2</v>
      </c>
      <c r="Q6" s="1">
        <v>1.460023804359422E-2</v>
      </c>
      <c r="R6" s="1">
        <v>1.9584216693815725E-2</v>
      </c>
      <c r="S6" s="1">
        <v>2.4791407947291844E-2</v>
      </c>
      <c r="T6" s="1">
        <v>3.0052644681640848E-2</v>
      </c>
      <c r="U6" s="1">
        <v>3.5279575770573959E-2</v>
      </c>
      <c r="V6" s="1">
        <v>4.0434256219323873E-2</v>
      </c>
      <c r="W6" s="1">
        <v>4.5503263628992471E-2</v>
      </c>
      <c r="X6" s="1">
        <v>5.0483045288289258E-2</v>
      </c>
      <c r="Y6" s="1">
        <v>5.5373445102786516E-2</v>
      </c>
      <c r="Z6" s="9">
        <f t="shared" si="1"/>
        <v>6.0175322038715007E-2</v>
      </c>
      <c r="AB6" s="2" t="s">
        <v>68</v>
      </c>
      <c r="AC6" s="1">
        <f t="shared" si="2"/>
        <v>2.3972602739726068E-3</v>
      </c>
      <c r="AD6" s="8">
        <f t="shared" si="3"/>
        <v>0</v>
      </c>
      <c r="AE6" s="1">
        <f t="shared" si="4"/>
        <v>2.8265604682102497E-4</v>
      </c>
      <c r="AF6" s="1">
        <f t="shared" si="5"/>
        <v>1.1482596660031324E-3</v>
      </c>
      <c r="AG6" s="1">
        <f t="shared" si="6"/>
        <v>4.0458817794762755E-3</v>
      </c>
      <c r="AH6" s="1">
        <f t="shared" si="7"/>
        <v>1.2863587231495867E-2</v>
      </c>
      <c r="AI6" s="1">
        <f t="shared" si="8"/>
        <v>3.6733531073680596E-2</v>
      </c>
      <c r="AJ6" s="1">
        <f t="shared" si="9"/>
        <v>9.3625133630802132E-2</v>
      </c>
      <c r="AK6" s="1">
        <f t="shared" si="10"/>
        <v>0.21198887385244305</v>
      </c>
      <c r="AL6" s="1">
        <f t="shared" si="11"/>
        <v>0.42574347858210421</v>
      </c>
      <c r="AM6" s="1">
        <f t="shared" si="12"/>
        <v>0.76087459251342759</v>
      </c>
      <c r="AN6" s="3">
        <f t="shared" si="13"/>
        <v>1.2212977312584392</v>
      </c>
      <c r="AO6" s="1">
        <f t="shared" si="14"/>
        <v>1.7867470494988809</v>
      </c>
      <c r="AP6" s="1">
        <f t="shared" si="15"/>
        <v>2.4248179851414133</v>
      </c>
      <c r="AQ6" s="1">
        <f t="shared" si="16"/>
        <v>3.1055886605307643</v>
      </c>
      <c r="AR6" s="1">
        <f t="shared" si="17"/>
        <v>3.8088620086895273</v>
      </c>
      <c r="AS6" s="1">
        <f t="shared" si="18"/>
        <v>4.5238239780309435</v>
      </c>
      <c r="AT6" s="1">
        <f t="shared" si="19"/>
        <v>5.2456777113146922</v>
      </c>
      <c r="AU6" s="1">
        <f t="shared" si="20"/>
        <v>5.9726146356983589</v>
      </c>
      <c r="AV6" s="1">
        <f t="shared" si="21"/>
        <v>6.7040507646168077</v>
      </c>
      <c r="AW6" s="1">
        <f t="shared" si="22"/>
        <v>7.4398314267435932</v>
      </c>
      <c r="AX6" s="9">
        <f t="shared" si="23"/>
        <v>8.1799335541826874</v>
      </c>
    </row>
    <row r="7" spans="1:50" x14ac:dyDescent="0.2">
      <c r="A7" s="32" t="s">
        <v>14</v>
      </c>
      <c r="B7" s="33">
        <v>7</v>
      </c>
      <c r="D7" s="2" t="s">
        <v>21</v>
      </c>
      <c r="E7" s="1">
        <f t="shared" si="0"/>
        <v>7.990867579908677E-5</v>
      </c>
      <c r="F7" s="8">
        <v>0</v>
      </c>
      <c r="G7" s="1" cm="1">
        <f t="array" ref="G7:Y7">TRANSPOSE(MMULT(_xlfn.ANCHORARRAY($X$90), TRANSPOSE(G8:Y8))+MMULT(_xlfn.ANCHORARRAY($D$90), TRANSPOSE(Y46:AQ46)))</f>
        <v>2.0319955316846535E-6</v>
      </c>
      <c r="H7" s="1">
        <v>8.4461642082769691E-6</v>
      </c>
      <c r="I7" s="1">
        <v>3.0513657829544432E-5</v>
      </c>
      <c r="J7" s="1">
        <v>9.9313033018536516E-5</v>
      </c>
      <c r="K7" s="1">
        <v>2.8955495000569317E-4</v>
      </c>
      <c r="L7" s="1">
        <v>7.5091461811558041E-4</v>
      </c>
      <c r="M7" s="1">
        <v>1.7225809392741119E-3</v>
      </c>
      <c r="N7" s="1">
        <v>3.4873833243352971E-3</v>
      </c>
      <c r="O7" s="1">
        <v>6.2489660371104283E-3</v>
      </c>
      <c r="P7" s="3">
        <v>1.0005896620100556E-2</v>
      </c>
      <c r="Q7" s="1">
        <v>1.4544123231061993E-2</v>
      </c>
      <c r="R7" s="1">
        <v>1.9558672408134796E-2</v>
      </c>
      <c r="S7" s="1">
        <v>2.4785634347736653E-2</v>
      </c>
      <c r="T7" s="1">
        <v>3.0057012217739099E-2</v>
      </c>
      <c r="U7" s="1">
        <v>3.5288212949252717E-2</v>
      </c>
      <c r="V7" s="1">
        <v>4.0444368202816883E-2</v>
      </c>
      <c r="W7" s="1">
        <v>4.5513749453373921E-2</v>
      </c>
      <c r="X7" s="1">
        <v>5.0493534030424281E-2</v>
      </c>
      <c r="Y7" s="1">
        <v>5.5383828269812141E-2</v>
      </c>
      <c r="Z7" s="9">
        <f t="shared" si="1"/>
        <v>6.0185573654778279E-2</v>
      </c>
      <c r="AB7" s="2" t="s">
        <v>69</v>
      </c>
      <c r="AC7" s="1">
        <f t="shared" si="2"/>
        <v>3.1963470319634722E-3</v>
      </c>
      <c r="AD7" s="8">
        <f t="shared" si="3"/>
        <v>0</v>
      </c>
      <c r="AE7" s="1">
        <f t="shared" si="4"/>
        <v>2.2127713720628803E-4</v>
      </c>
      <c r="AF7" s="1">
        <f t="shared" si="5"/>
        <v>9.3055729448821944E-4</v>
      </c>
      <c r="AG7" s="1">
        <f t="shared" si="6"/>
        <v>3.4013213947189603E-3</v>
      </c>
      <c r="AH7" s="1">
        <f t="shared" si="7"/>
        <v>1.1200294603660992E-2</v>
      </c>
      <c r="AI7" s="1">
        <f t="shared" si="8"/>
        <v>3.3038779551587322E-2</v>
      </c>
      <c r="AJ7" s="1">
        <f t="shared" si="9"/>
        <v>8.6686878162984315E-2</v>
      </c>
      <c r="AK7" s="1">
        <f t="shared" si="10"/>
        <v>0.2011927113132059</v>
      </c>
      <c r="AL7" s="1">
        <f t="shared" si="11"/>
        <v>0.41209950632951031</v>
      </c>
      <c r="AM7" s="1">
        <f t="shared" si="12"/>
        <v>0.74710281669032386</v>
      </c>
      <c r="AN7" s="3">
        <f t="shared" si="13"/>
        <v>1.2103139046728799</v>
      </c>
      <c r="AO7" s="1">
        <f t="shared" si="14"/>
        <v>1.7799153916752655</v>
      </c>
      <c r="AP7" s="1">
        <f t="shared" si="15"/>
        <v>2.4217036000626209</v>
      </c>
      <c r="AQ7" s="1">
        <f t="shared" si="16"/>
        <v>3.1049274359774204</v>
      </c>
      <c r="AR7" s="1">
        <f t="shared" si="17"/>
        <v>3.8094916508335843</v>
      </c>
      <c r="AS7" s="1">
        <f t="shared" si="18"/>
        <v>4.525021901064977</v>
      </c>
      <c r="AT7" s="1">
        <f t="shared" si="19"/>
        <v>5.2470943954024296</v>
      </c>
      <c r="AU7" s="1">
        <f t="shared" si="20"/>
        <v>5.9741103165001865</v>
      </c>
      <c r="AV7" s="1">
        <f t="shared" si="21"/>
        <v>6.7055776064026027</v>
      </c>
      <c r="AW7" s="1">
        <f t="shared" si="22"/>
        <v>7.4413751380637141</v>
      </c>
      <c r="AX7" s="9">
        <f t="shared" si="23"/>
        <v>8.1814905491950576</v>
      </c>
    </row>
    <row r="8" spans="1:50" x14ac:dyDescent="0.2">
      <c r="A8" s="32" t="s">
        <v>5</v>
      </c>
      <c r="B8" s="34">
        <f>B7/365</f>
        <v>1.9178082191780823E-2</v>
      </c>
      <c r="D8" s="2" t="s">
        <v>22</v>
      </c>
      <c r="E8" s="1">
        <f t="shared" si="0"/>
        <v>7.5913242009132437E-5</v>
      </c>
      <c r="F8" s="8">
        <v>0</v>
      </c>
      <c r="G8" s="1" cm="1">
        <f t="array" ref="G8:Y8">TRANSPOSE(MMULT(_xlfn.ANCHORARRAY($X$90), TRANSPOSE(G9:Y9))+MMULT(_xlfn.ANCHORARRAY($D$90), TRANSPOSE(Y47:AQ47)))</f>
        <v>1.5629948737430525E-6</v>
      </c>
      <c r="H8" s="1">
        <v>6.7420274635352039E-6</v>
      </c>
      <c r="I8" s="1">
        <v>2.5329624019789445E-5</v>
      </c>
      <c r="J8" s="1">
        <v>8.5592454901773209E-5</v>
      </c>
      <c r="K8" s="1">
        <v>2.5839978654911585E-4</v>
      </c>
      <c r="L8" s="1">
        <v>6.9140113074359522E-4</v>
      </c>
      <c r="M8" s="1">
        <v>1.6290228012270469E-3</v>
      </c>
      <c r="N8" s="1">
        <v>3.3690236873452637E-3</v>
      </c>
      <c r="O8" s="1">
        <v>6.130717606165295E-3</v>
      </c>
      <c r="P8" s="3">
        <v>9.9136405372578194E-3</v>
      </c>
      <c r="Q8" s="1">
        <v>1.4488577821265516E-2</v>
      </c>
      <c r="R8" s="1">
        <v>1.9534448992618275E-2</v>
      </c>
      <c r="S8" s="1">
        <v>2.4781007003314665E-2</v>
      </c>
      <c r="T8" s="1">
        <v>3.0062062568669883E-2</v>
      </c>
      <c r="U8" s="1">
        <v>3.5297167948421256E-2</v>
      </c>
      <c r="V8" s="1">
        <v>4.045460266298493E-2</v>
      </c>
      <c r="W8" s="1">
        <v>4.5524275654249366E-2</v>
      </c>
      <c r="X8" s="1">
        <v>5.0504034325291672E-2</v>
      </c>
      <c r="Y8" s="1">
        <v>5.5394214134349348E-2</v>
      </c>
      <c r="Z8" s="9">
        <f t="shared" si="1"/>
        <v>6.0195825062202446E-2</v>
      </c>
      <c r="AB8" s="2" t="s">
        <v>70</v>
      </c>
      <c r="AC8" s="1">
        <f t="shared" si="2"/>
        <v>3.9954337899543394E-3</v>
      </c>
      <c r="AD8" s="8">
        <f t="shared" si="3"/>
        <v>0</v>
      </c>
      <c r="AE8" s="1">
        <f t="shared" si="4"/>
        <v>1.702080221193338E-4</v>
      </c>
      <c r="AF8" s="1">
        <f t="shared" si="5"/>
        <v>7.4281863529891061E-4</v>
      </c>
      <c r="AG8" s="1">
        <f t="shared" si="6"/>
        <v>2.8235196748297004E-3</v>
      </c>
      <c r="AH8" s="1">
        <f t="shared" si="7"/>
        <v>9.653112316988368E-3</v>
      </c>
      <c r="AI8" s="1">
        <f t="shared" si="8"/>
        <v>2.9484504184325924E-2</v>
      </c>
      <c r="AJ8" s="1">
        <f t="shared" si="9"/>
        <v>7.9818133098292429E-2</v>
      </c>
      <c r="AK8" s="1">
        <f t="shared" si="10"/>
        <v>0.1902691793634273</v>
      </c>
      <c r="AL8" s="1">
        <f t="shared" si="11"/>
        <v>0.39812105675851922</v>
      </c>
      <c r="AM8" s="1">
        <f t="shared" si="12"/>
        <v>0.73298012288227099</v>
      </c>
      <c r="AN8" s="3">
        <f t="shared" si="13"/>
        <v>1.1991785588570547</v>
      </c>
      <c r="AO8" s="1">
        <f t="shared" si="14"/>
        <v>1.7731531452992491</v>
      </c>
      <c r="AP8" s="1">
        <f t="shared" si="15"/>
        <v>2.4187526395337384</v>
      </c>
      <c r="AQ8" s="1">
        <f t="shared" si="16"/>
        <v>3.104409779449373</v>
      </c>
      <c r="AR8" s="1">
        <f t="shared" si="17"/>
        <v>3.8102078597930538</v>
      </c>
      <c r="AS8" s="1">
        <f t="shared" si="18"/>
        <v>4.5262606252211253</v>
      </c>
      <c r="AT8" s="1">
        <f t="shared" si="19"/>
        <v>5.2485270239628647</v>
      </c>
      <c r="AU8" s="1">
        <f t="shared" si="20"/>
        <v>5.975611354580705</v>
      </c>
      <c r="AV8" s="1">
        <f t="shared" si="21"/>
        <v>6.7071060407592151</v>
      </c>
      <c r="AW8" s="1">
        <f t="shared" si="22"/>
        <v>7.4429192705383027</v>
      </c>
      <c r="AX8" s="9">
        <f t="shared" si="23"/>
        <v>8.1830475747896898</v>
      </c>
    </row>
    <row r="9" spans="1:50" x14ac:dyDescent="0.2">
      <c r="A9" s="32" t="s">
        <v>6</v>
      </c>
      <c r="B9" s="34">
        <v>20</v>
      </c>
      <c r="D9" s="2" t="s">
        <v>23</v>
      </c>
      <c r="E9" s="1">
        <f t="shared" si="0"/>
        <v>7.1917808219178103E-5</v>
      </c>
      <c r="F9" s="8">
        <v>0</v>
      </c>
      <c r="G9" s="1" cm="1">
        <f t="array" ref="G9:Y9">TRANSPOSE(MMULT(_xlfn.ANCHORARRAY($X$90), TRANSPOSE(G10:Y10))+MMULT(_xlfn.ANCHORARRAY($D$90), TRANSPOSE(Y48:AQ48)))</f>
        <v>1.1789255123933431E-6</v>
      </c>
      <c r="H9" s="1">
        <v>5.2916287200636768E-6</v>
      </c>
      <c r="I9" s="1">
        <v>2.0730477361608195E-5</v>
      </c>
      <c r="J9" s="1">
        <v>7.292669967000863E-5</v>
      </c>
      <c r="K9" s="1">
        <v>2.2857679848938572E-4</v>
      </c>
      <c r="L9" s="1">
        <v>6.326260881323976E-4</v>
      </c>
      <c r="M9" s="1">
        <v>1.5343887928276157E-3</v>
      </c>
      <c r="N9" s="1">
        <v>3.2476351645504913E-3</v>
      </c>
      <c r="O9" s="1">
        <v>6.0093156664497481E-3</v>
      </c>
      <c r="P9" s="3">
        <v>9.8201231275067604E-3</v>
      </c>
      <c r="Q9" s="1">
        <v>1.4433736945799098E-2</v>
      </c>
      <c r="R9" s="1">
        <v>1.9511658391555699E-2</v>
      </c>
      <c r="S9" s="1">
        <v>2.4777557768177073E-2</v>
      </c>
      <c r="T9" s="1">
        <v>3.0067781916872698E-2</v>
      </c>
      <c r="U9" s="1">
        <v>3.5306420027845543E-2</v>
      </c>
      <c r="V9" s="1">
        <v>4.0464946334227467E-2</v>
      </c>
      <c r="W9" s="1">
        <v>4.5534836181361796E-2</v>
      </c>
      <c r="X9" s="1">
        <v>5.0514543964592248E-2</v>
      </c>
      <c r="Y9" s="1">
        <v>5.5404602052714219E-2</v>
      </c>
      <c r="Z9" s="9">
        <f t="shared" si="1"/>
        <v>6.0206076260990726E-2</v>
      </c>
      <c r="AB9" s="2" t="s">
        <v>71</v>
      </c>
      <c r="AC9" s="1">
        <f t="shared" si="2"/>
        <v>4.7945205479452049E-3</v>
      </c>
      <c r="AD9" s="8">
        <f t="shared" si="3"/>
        <v>0</v>
      </c>
      <c r="AE9" s="1">
        <f t="shared" si="4"/>
        <v>1.2838595428034594E-4</v>
      </c>
      <c r="AF9" s="1">
        <f t="shared" si="5"/>
        <v>5.8302921058340823E-4</v>
      </c>
      <c r="AG9" s="1">
        <f t="shared" si="6"/>
        <v>2.310894152511195E-3</v>
      </c>
      <c r="AH9" s="1">
        <f t="shared" si="7"/>
        <v>8.2248334516206497E-3</v>
      </c>
      <c r="AI9" s="1">
        <f t="shared" si="8"/>
        <v>2.6082096655161403E-2</v>
      </c>
      <c r="AJ9" s="1">
        <f t="shared" si="9"/>
        <v>7.303436430250447E-2</v>
      </c>
      <c r="AK9" s="1">
        <f t="shared" si="10"/>
        <v>0.17921954717059238</v>
      </c>
      <c r="AL9" s="1">
        <f t="shared" si="11"/>
        <v>0.3837841147603327</v>
      </c>
      <c r="AM9" s="1">
        <f t="shared" si="12"/>
        <v>0.71847982782579511</v>
      </c>
      <c r="AN9" s="3">
        <f t="shared" si="13"/>
        <v>1.1878901913677169</v>
      </c>
      <c r="AO9" s="1">
        <f t="shared" si="14"/>
        <v>1.7664768526562113</v>
      </c>
      <c r="AP9" s="1">
        <f t="shared" si="15"/>
        <v>2.4159789745554812</v>
      </c>
      <c r="AQ9" s="1">
        <f t="shared" si="16"/>
        <v>3.1040396901205964</v>
      </c>
      <c r="AR9" s="1">
        <f t="shared" si="17"/>
        <v>3.8110088894174492</v>
      </c>
      <c r="AS9" s="1">
        <f t="shared" si="18"/>
        <v>4.5275374933083761</v>
      </c>
      <c r="AT9" s="1">
        <f t="shared" si="19"/>
        <v>5.2499738768539492</v>
      </c>
      <c r="AU9" s="1">
        <f t="shared" si="20"/>
        <v>5.9771169560740267</v>
      </c>
      <c r="AV9" s="1">
        <f t="shared" si="21"/>
        <v>6.7086357745048808</v>
      </c>
      <c r="AW9" s="1">
        <f t="shared" si="22"/>
        <v>7.4444637377019376</v>
      </c>
      <c r="AX9" s="9">
        <f t="shared" si="23"/>
        <v>8.1846046309670513</v>
      </c>
    </row>
    <row r="10" spans="1:50" x14ac:dyDescent="0.2">
      <c r="A10" s="32" t="s">
        <v>7</v>
      </c>
      <c r="B10" s="34">
        <v>24</v>
      </c>
      <c r="D10" s="2" t="s">
        <v>24</v>
      </c>
      <c r="E10" s="1">
        <f t="shared" si="0"/>
        <v>6.7922374429223769E-5</v>
      </c>
      <c r="F10" s="8">
        <v>0</v>
      </c>
      <c r="G10" s="1" cm="1">
        <f t="array" ref="G10:Y10">TRANSPOSE(MMULT(_xlfn.ANCHORARRAY($X$90), TRANSPOSE(G11:Y11))+MMULT(_xlfn.ANCHORARRAY($D$90), TRANSPOSE(Y49:AQ49)))</f>
        <v>8.699519101469027E-7</v>
      </c>
      <c r="H10" s="1">
        <v>4.075278693122865E-6</v>
      </c>
      <c r="I10" s="1">
        <v>1.6697765688960952E-5</v>
      </c>
      <c r="J10" s="1">
        <v>6.1335657377862901E-5</v>
      </c>
      <c r="K10" s="1">
        <v>2.0019018491228269E-4</v>
      </c>
      <c r="L10" s="1">
        <v>5.7474318155948344E-4</v>
      </c>
      <c r="M10" s="1">
        <v>1.4387022568607629E-3</v>
      </c>
      <c r="N10" s="1">
        <v>3.1229900693564472E-3</v>
      </c>
      <c r="O10" s="1">
        <v>5.8845076228555126E-3</v>
      </c>
      <c r="P10" s="3">
        <v>9.725340966491379E-3</v>
      </c>
      <c r="Q10" s="1">
        <v>1.4379757390351033E-2</v>
      </c>
      <c r="R10" s="1">
        <v>1.9490418982022233E-2</v>
      </c>
      <c r="S10" s="1">
        <v>2.4775313810626236E-2</v>
      </c>
      <c r="T10" s="1">
        <v>3.0074151714654204E-2</v>
      </c>
      <c r="U10" s="1">
        <v>3.5315946841209492E-2</v>
      </c>
      <c r="V10" s="1">
        <v>4.047538606398992E-2</v>
      </c>
      <c r="W10" s="1">
        <v>4.5545425407352888E-2</v>
      </c>
      <c r="X10" s="1">
        <v>5.0525061007548923E-2</v>
      </c>
      <c r="Y10" s="1">
        <v>5.5414991485803818E-2</v>
      </c>
      <c r="Z10" s="9">
        <f t="shared" si="1"/>
        <v>6.0216327251146784E-2</v>
      </c>
      <c r="AB10" s="2" t="s">
        <v>72</v>
      </c>
      <c r="AC10" s="1">
        <f t="shared" si="2"/>
        <v>5.5936073059360721E-3</v>
      </c>
      <c r="AD10" s="8">
        <f t="shared" si="3"/>
        <v>0</v>
      </c>
      <c r="AE10" s="1">
        <f t="shared" si="4"/>
        <v>9.4740368456267454E-5</v>
      </c>
      <c r="AF10" s="1">
        <f t="shared" si="5"/>
        <v>4.4902129597784756E-4</v>
      </c>
      <c r="AG10" s="1">
        <f t="shared" si="6"/>
        <v>1.8613917701764682E-3</v>
      </c>
      <c r="AH10" s="1">
        <f t="shared" si="7"/>
        <v>6.9177084244270463E-3</v>
      </c>
      <c r="AI10" s="1">
        <f t="shared" si="8"/>
        <v>2.2843456099795802E-2</v>
      </c>
      <c r="AJ10" s="1">
        <f t="shared" si="9"/>
        <v>6.6353320326063892E-2</v>
      </c>
      <c r="AK10" s="1">
        <f t="shared" si="10"/>
        <v>0.16804653372674597</v>
      </c>
      <c r="AL10" s="1">
        <f t="shared" si="11"/>
        <v>0.36906175182817164</v>
      </c>
      <c r="AM10" s="1">
        <f t="shared" si="12"/>
        <v>0.70357170777873224</v>
      </c>
      <c r="AN10" s="3">
        <f t="shared" si="13"/>
        <v>1.1764483788121478</v>
      </c>
      <c r="AO10" s="1">
        <f t="shared" si="14"/>
        <v>1.759905707548421</v>
      </c>
      <c r="AP10" s="1">
        <f t="shared" si="15"/>
        <v>2.413397273775006</v>
      </c>
      <c r="AQ10" s="1">
        <f t="shared" si="16"/>
        <v>3.1038205804469658</v>
      </c>
      <c r="AR10" s="1">
        <f t="shared" si="17"/>
        <v>3.8118923938732006</v>
      </c>
      <c r="AS10" s="1">
        <f t="shared" si="18"/>
        <v>4.5288496419623918</v>
      </c>
      <c r="AT10" s="1">
        <f t="shared" si="19"/>
        <v>5.2514332484631687</v>
      </c>
      <c r="AU10" s="1">
        <f t="shared" si="20"/>
        <v>5.9786263825635952</v>
      </c>
      <c r="AV10" s="1">
        <f t="shared" si="21"/>
        <v>6.7101665499636587</v>
      </c>
      <c r="AW10" s="1">
        <f t="shared" si="22"/>
        <v>7.4460084671346412</v>
      </c>
      <c r="AX10" s="9">
        <f t="shared" si="23"/>
        <v>8.1861617177276784</v>
      </c>
    </row>
    <row r="11" spans="1:50" x14ac:dyDescent="0.2">
      <c r="A11" s="35" t="s">
        <v>146</v>
      </c>
      <c r="B11" s="45">
        <v>0.5</v>
      </c>
      <c r="D11" s="2" t="s">
        <v>25</v>
      </c>
      <c r="E11" s="1">
        <f t="shared" si="0"/>
        <v>6.3926940639269435E-5</v>
      </c>
      <c r="F11" s="8">
        <v>0</v>
      </c>
      <c r="G11" s="1" cm="1">
        <f t="array" ref="G11:Y11">TRANSPOSE(MMULT(_xlfn.ANCHORARRAY($X$90), TRANSPOSE(G12:Y12))+MMULT(_xlfn.ANCHORARRAY($D$90), TRANSPOSE(Y50:AQ50)))</f>
        <v>6.2631955485518864E-7</v>
      </c>
      <c r="H11" s="1">
        <v>3.0721047838583352E-6</v>
      </c>
      <c r="I11" s="1">
        <v>1.3208587370440336E-5</v>
      </c>
      <c r="J11" s="1">
        <v>5.0833172243006993E-5</v>
      </c>
      <c r="K11" s="1">
        <v>1.7334767314849966E-4</v>
      </c>
      <c r="L11" s="1">
        <v>5.1792866856985981E-4</v>
      </c>
      <c r="M11" s="1">
        <v>1.342002982723831E-3</v>
      </c>
      <c r="N11" s="1">
        <v>2.9948319278029923E-3</v>
      </c>
      <c r="O11" s="1">
        <v>5.7560055491763162E-3</v>
      </c>
      <c r="P11" s="3">
        <v>9.629303123519525E-3</v>
      </c>
      <c r="Q11" s="1">
        <v>1.4326821116874108E-2</v>
      </c>
      <c r="R11" s="1">
        <v>1.9470854888041265E-2</v>
      </c>
      <c r="S11" s="1">
        <v>2.4774296210009407E-2</v>
      </c>
      <c r="T11" s="1">
        <v>3.0081148343307846E-2</v>
      </c>
      <c r="U11" s="1">
        <v>3.5325724634072735E-2</v>
      </c>
      <c r="V11" s="1">
        <v>4.0485908983485558E-2</v>
      </c>
      <c r="W11" s="1">
        <v>4.5556038178354234E-2</v>
      </c>
      <c r="X11" s="1">
        <v>5.0535583779057903E-2</v>
      </c>
      <c r="Y11" s="1">
        <v>5.5425381991465385E-2</v>
      </c>
      <c r="Z11" s="9">
        <f t="shared" si="1"/>
        <v>6.0226578032674061E-2</v>
      </c>
      <c r="AB11" s="2" t="s">
        <v>73</v>
      </c>
      <c r="AC11" s="1">
        <f t="shared" si="2"/>
        <v>6.3926940639269375E-3</v>
      </c>
      <c r="AD11" s="8">
        <f t="shared" si="3"/>
        <v>0</v>
      </c>
      <c r="AE11" s="1">
        <f t="shared" si="4"/>
        <v>6.8209437922070091E-5</v>
      </c>
      <c r="AF11" s="1">
        <f t="shared" si="5"/>
        <v>3.3849661161733944E-4</v>
      </c>
      <c r="AG11" s="1">
        <f t="shared" si="6"/>
        <v>1.472463289740577E-3</v>
      </c>
      <c r="AH11" s="1">
        <f t="shared" si="7"/>
        <v>5.7333059418003245E-3</v>
      </c>
      <c r="AI11" s="1">
        <f t="shared" si="8"/>
        <v>1.978088521615717E-2</v>
      </c>
      <c r="AJ11" s="1">
        <f t="shared" si="9"/>
        <v>5.979535643449313E-2</v>
      </c>
      <c r="AK11" s="1">
        <f t="shared" si="10"/>
        <v>0.15675477931406115</v>
      </c>
      <c r="AL11" s="1">
        <f t="shared" si="11"/>
        <v>0.3539236352672529</v>
      </c>
      <c r="AM11" s="1">
        <f t="shared" si="12"/>
        <v>0.68822131219425209</v>
      </c>
      <c r="AN11" s="3">
        <f t="shared" si="13"/>
        <v>1.1648542091193186</v>
      </c>
      <c r="AO11" s="1">
        <f t="shared" si="14"/>
        <v>1.7534619866388499</v>
      </c>
      <c r="AP11" s="1">
        <f t="shared" si="15"/>
        <v>2.4110229186401515</v>
      </c>
      <c r="AQ11" s="1">
        <f t="shared" si="16"/>
        <v>3.1037551003247099</v>
      </c>
      <c r="AR11" s="1">
        <f t="shared" si="17"/>
        <v>3.812855384376383</v>
      </c>
      <c r="AS11" s="1">
        <f t="shared" si="18"/>
        <v>4.5301940270111505</v>
      </c>
      <c r="AT11" s="1">
        <f t="shared" si="19"/>
        <v>5.2529034698595511</v>
      </c>
      <c r="AU11" s="1">
        <f t="shared" si="20"/>
        <v>5.9801389577288351</v>
      </c>
      <c r="AV11" s="1">
        <f t="shared" si="21"/>
        <v>6.7116981447234387</v>
      </c>
      <c r="AW11" s="1">
        <f t="shared" si="22"/>
        <v>7.4475533994379139</v>
      </c>
      <c r="AX11" s="9">
        <f t="shared" si="23"/>
        <v>8.1877188350720669</v>
      </c>
    </row>
    <row r="12" spans="1:50" x14ac:dyDescent="0.2">
      <c r="A12" s="35" t="s">
        <v>15</v>
      </c>
      <c r="B12" s="33">
        <v>-0.05</v>
      </c>
      <c r="D12" s="2" t="s">
        <v>26</v>
      </c>
      <c r="E12" s="1">
        <f t="shared" si="0"/>
        <v>5.9931506849315101E-5</v>
      </c>
      <c r="F12" s="8">
        <v>0</v>
      </c>
      <c r="G12" s="1" cm="1">
        <f t="array" ref="G12:Y12">TRANSPOSE(MMULT(_xlfn.ANCHORARRAY($X$90), TRANSPOSE(G13:Y13))+MMULT(_xlfn.ANCHORARRAY($D$90), TRANSPOSE(Y51:AQ51)))</f>
        <v>4.3851609423070351E-7</v>
      </c>
      <c r="H12" s="1">
        <v>2.2603161332256265E-6</v>
      </c>
      <c r="I12" s="1">
        <v>1.0235443747972271E-5</v>
      </c>
      <c r="J12" s="1">
        <v>4.1425659380935043E-5</v>
      </c>
      <c r="K12" s="1">
        <v>1.4815914873010704E-4</v>
      </c>
      <c r="L12" s="1">
        <v>4.6238445262605782E-4</v>
      </c>
      <c r="M12" s="1">
        <v>1.2443525316039223E-3</v>
      </c>
      <c r="N12" s="1">
        <v>2.8628704637748974E-3</v>
      </c>
      <c r="O12" s="1">
        <v>5.6234789737290821E-3</v>
      </c>
      <c r="P12" s="3">
        <v>9.5320360426787449E-3</v>
      </c>
      <c r="Q12" s="1">
        <v>1.4275139283283854E-2</v>
      </c>
      <c r="R12" s="1">
        <v>1.9453094811848228E-2</v>
      </c>
      <c r="S12" s="1">
        <v>2.4774518344034123E-2</v>
      </c>
      <c r="T12" s="1">
        <v>3.0088742851080302E-2</v>
      </c>
      <c r="U12" s="1">
        <v>3.5335728511243863E-2</v>
      </c>
      <c r="V12" s="1">
        <v>4.0496502686757994E-2</v>
      </c>
      <c r="W12" s="1">
        <v>4.5566669855396147E-2</v>
      </c>
      <c r="X12" s="1">
        <v>5.0546110862345131E-2</v>
      </c>
      <c r="Y12" s="1">
        <v>5.5435773215448611E-2</v>
      </c>
      <c r="Z12" s="9">
        <f t="shared" si="1"/>
        <v>6.0236828605576109E-2</v>
      </c>
      <c r="AB12" s="2" t="s">
        <v>74</v>
      </c>
      <c r="AC12" s="1">
        <f t="shared" si="2"/>
        <v>7.1917808219178047E-3</v>
      </c>
      <c r="AD12" s="8">
        <f t="shared" si="3"/>
        <v>0</v>
      </c>
      <c r="AE12" s="1">
        <f t="shared" si="4"/>
        <v>4.7757624070942971E-5</v>
      </c>
      <c r="AF12" s="1">
        <f t="shared" si="5"/>
        <v>2.4905551437324705E-4</v>
      </c>
      <c r="AG12" s="1">
        <f t="shared" si="6"/>
        <v>1.1410467929401553E-3</v>
      </c>
      <c r="AH12" s="1">
        <f t="shared" si="7"/>
        <v>4.6723569145116399E-3</v>
      </c>
      <c r="AI12" s="1">
        <f t="shared" si="8"/>
        <v>1.6906933964431364E-2</v>
      </c>
      <c r="AJ12" s="1">
        <f t="shared" si="9"/>
        <v>5.3383790424319712E-2</v>
      </c>
      <c r="AK12" s="1">
        <f t="shared" si="10"/>
        <v>0.14535146772492419</v>
      </c>
      <c r="AL12" s="1">
        <f t="shared" si="11"/>
        <v>0.33833543520458259</v>
      </c>
      <c r="AM12" s="1">
        <f t="shared" si="12"/>
        <v>0.6723891006886904</v>
      </c>
      <c r="AN12" s="3">
        <f t="shared" si="13"/>
        <v>1.1531108721699181</v>
      </c>
      <c r="AO12" s="1">
        <f t="shared" si="14"/>
        <v>1.7471715417403875</v>
      </c>
      <c r="AP12" s="1">
        <f t="shared" si="15"/>
        <v>2.4088718587462701</v>
      </c>
      <c r="AQ12" s="1">
        <f t="shared" si="16"/>
        <v>3.1038449349710246</v>
      </c>
      <c r="AR12" s="1">
        <f t="shared" si="17"/>
        <v>3.8138941959144819</v>
      </c>
      <c r="AS12" s="1">
        <f t="shared" si="18"/>
        <v>4.5315674577457097</v>
      </c>
      <c r="AT12" s="1">
        <f t="shared" si="19"/>
        <v>5.2543829320305306</v>
      </c>
      <c r="AU12" s="1">
        <f t="shared" si="20"/>
        <v>5.9816540727871992</v>
      </c>
      <c r="AV12" s="1">
        <f t="shared" si="21"/>
        <v>6.7132303706641379</v>
      </c>
      <c r="AW12" s="1">
        <f t="shared" si="22"/>
        <v>7.4490984870202759</v>
      </c>
      <c r="AX12" s="9">
        <f t="shared" si="23"/>
        <v>8.1892759830007424</v>
      </c>
    </row>
    <row r="13" spans="1:50" x14ac:dyDescent="0.2">
      <c r="A13" s="32" t="s">
        <v>9</v>
      </c>
      <c r="B13" s="34">
        <f>(LN(B2/B3)-B12)/10</f>
        <v>5.8368249670516584E-3</v>
      </c>
      <c r="D13" s="2" t="s">
        <v>27</v>
      </c>
      <c r="E13" s="1">
        <f t="shared" si="0"/>
        <v>5.5936073059360761E-5</v>
      </c>
      <c r="F13" s="8">
        <v>0</v>
      </c>
      <c r="G13" s="1" cm="1">
        <f t="array" ref="G13:Y13">TRANSPOSE(MMULT(_xlfn.ANCHORARRAY($X$90), TRANSPOSE(G14:Y14))+MMULT(_xlfn.ANCHORARRAY($D$90), TRANSPOSE(Y52:AQ52)))</f>
        <v>2.9743603284755583E-7</v>
      </c>
      <c r="H13" s="1">
        <v>1.6175294775411893E-6</v>
      </c>
      <c r="I13" s="1">
        <v>7.7462057909957521E-6</v>
      </c>
      <c r="J13" s="1">
        <v>3.3110587546473822E-5</v>
      </c>
      <c r="K13" s="1">
        <v>1.2473469037877868E-4</v>
      </c>
      <c r="L13" s="1">
        <v>4.0834138029926441E-4</v>
      </c>
      <c r="M13" s="1">
        <v>1.1458412901505638E-3</v>
      </c>
      <c r="N13" s="1">
        <v>2.7267755173569679E-3</v>
      </c>
      <c r="O13" s="1">
        <v>5.4865457158784275E-3</v>
      </c>
      <c r="P13" s="3">
        <v>9.43359024181596E-3</v>
      </c>
      <c r="Q13" s="1">
        <v>1.4224956760445764E-2</v>
      </c>
      <c r="R13" s="1">
        <v>1.9437270215269704E-2</v>
      </c>
      <c r="S13" s="1">
        <v>2.4775984073011476E-2</v>
      </c>
      <c r="T13" s="1">
        <v>3.0096900808814338E-2</v>
      </c>
      <c r="U13" s="1">
        <v>3.534593277824525E-2</v>
      </c>
      <c r="V13" s="1">
        <v>4.0507155412148686E-2</v>
      </c>
      <c r="W13" s="1">
        <v>4.5577316344204963E-2</v>
      </c>
      <c r="X13" s="1">
        <v>5.0556641086214327E-2</v>
      </c>
      <c r="Y13" s="1">
        <v>5.5446164881288694E-2</v>
      </c>
      <c r="Z13" s="9">
        <f t="shared" si="1"/>
        <v>6.0247078969856482E-2</v>
      </c>
      <c r="AB13" s="2" t="s">
        <v>75</v>
      </c>
      <c r="AC13" s="1">
        <f t="shared" si="2"/>
        <v>7.9908675799086736E-3</v>
      </c>
      <c r="AD13" s="8">
        <f t="shared" si="3"/>
        <v>0</v>
      </c>
      <c r="AE13" s="1">
        <f t="shared" si="4"/>
        <v>3.2393616115947756E-5</v>
      </c>
      <c r="AF13" s="1">
        <f t="shared" si="5"/>
        <v>1.7823289322078668E-4</v>
      </c>
      <c r="AG13" s="1">
        <f t="shared" si="6"/>
        <v>8.6356391266883474E-4</v>
      </c>
      <c r="AH13" s="1">
        <f t="shared" si="7"/>
        <v>3.7345832405981595E-3</v>
      </c>
      <c r="AI13" s="1">
        <f t="shared" si="8"/>
        <v>1.4234175353192789E-2</v>
      </c>
      <c r="AJ13" s="1">
        <f t="shared" si="9"/>
        <v>4.7145283597968254E-2</v>
      </c>
      <c r="AK13" s="1">
        <f t="shared" si="10"/>
        <v>0.13384715046428208</v>
      </c>
      <c r="AL13" s="1">
        <f t="shared" si="11"/>
        <v>0.32225810544368005</v>
      </c>
      <c r="AM13" s="1">
        <f t="shared" si="12"/>
        <v>0.65602934685137648</v>
      </c>
      <c r="AN13" s="3">
        <f t="shared" si="13"/>
        <v>1.141224470412457</v>
      </c>
      <c r="AO13" s="1">
        <f t="shared" si="14"/>
        <v>1.7410643530297594</v>
      </c>
      <c r="AP13" s="1">
        <f t="shared" si="15"/>
        <v>2.4069603866890508</v>
      </c>
      <c r="AQ13" s="1">
        <f t="shared" si="16"/>
        <v>3.1040905773383236</v>
      </c>
      <c r="AR13" s="1">
        <f t="shared" si="17"/>
        <v>3.8150044688805207</v>
      </c>
      <c r="AS13" s="1">
        <f t="shared" si="18"/>
        <v>4.5329666406969951</v>
      </c>
      <c r="AT13" s="1">
        <f t="shared" si="19"/>
        <v>5.2558701094336451</v>
      </c>
      <c r="AU13" s="1">
        <f t="shared" si="20"/>
        <v>5.9831711904125617</v>
      </c>
      <c r="AV13" s="1">
        <f t="shared" si="21"/>
        <v>6.7147630722674521</v>
      </c>
      <c r="AW13" s="1">
        <f t="shared" si="22"/>
        <v>7.4506436927389554</v>
      </c>
      <c r="AX13" s="9">
        <f t="shared" si="23"/>
        <v>8.1908331615142131</v>
      </c>
    </row>
    <row r="14" spans="1:50" x14ac:dyDescent="0.2">
      <c r="A14" s="32" t="s">
        <v>10</v>
      </c>
      <c r="B14" s="34">
        <f>B4^2*B8/(2*B10)</f>
        <v>3.9954337899543389E-6</v>
      </c>
      <c r="D14" s="2" t="s">
        <v>28</v>
      </c>
      <c r="E14" s="1">
        <f t="shared" si="0"/>
        <v>5.194063926940642E-5</v>
      </c>
      <c r="F14" s="8">
        <v>0</v>
      </c>
      <c r="G14" s="1" cm="1">
        <f t="array" ref="G14:Y14">TRANSPOSE(MMULT(_xlfn.ANCHORARRAY($X$90), TRANSPOSE(G15:Y15))+MMULT(_xlfn.ANCHORARRAY($D$90), TRANSPOSE(Y53:AQ53)))</f>
        <v>1.945419620425E-7</v>
      </c>
      <c r="H14" s="1">
        <v>1.1211542737158061E-6</v>
      </c>
      <c r="I14" s="1">
        <v>5.7042327077538192E-6</v>
      </c>
      <c r="J14" s="1">
        <v>2.5874864506796699E-5</v>
      </c>
      <c r="K14" s="1">
        <v>1.0318184647722593E-4</v>
      </c>
      <c r="L14" s="1">
        <v>3.5606263442400078E-4</v>
      </c>
      <c r="M14" s="1">
        <v>1.0465978494984805E-3</v>
      </c>
      <c r="N14" s="1">
        <v>2.5861696456297937E-3</v>
      </c>
      <c r="O14" s="1">
        <v>5.3447601244209992E-3</v>
      </c>
      <c r="P14" s="3">
        <v>9.3340495522071677E-3</v>
      </c>
      <c r="Q14" s="1">
        <v>1.4176557089334978E-2</v>
      </c>
      <c r="R14" s="1">
        <v>1.9423512641405901E-2</v>
      </c>
      <c r="S14" s="1">
        <v>2.4778685748625049E-2</v>
      </c>
      <c r="T14" s="1">
        <v>3.0105582329762841E-2</v>
      </c>
      <c r="U14" s="1">
        <v>3.5356311358018443E-2</v>
      </c>
      <c r="V14" s="1">
        <v>4.0517856218578056E-2</v>
      </c>
      <c r="W14" s="1">
        <v>4.5587974111182039E-2</v>
      </c>
      <c r="X14" s="1">
        <v>5.0567173507253795E-2</v>
      </c>
      <c r="Y14" s="1">
        <v>5.5456556779530236E-2</v>
      </c>
      <c r="Z14" s="9">
        <f t="shared" si="1"/>
        <v>6.0257329125518733E-2</v>
      </c>
      <c r="AB14" s="2" t="s">
        <v>76</v>
      </c>
      <c r="AC14" s="1">
        <f t="shared" si="2"/>
        <v>8.7899543378995408E-3</v>
      </c>
      <c r="AD14" s="8">
        <f t="shared" si="3"/>
        <v>0</v>
      </c>
      <c r="AE14" s="1">
        <f t="shared" si="4"/>
        <v>2.1187895334150216E-5</v>
      </c>
      <c r="AF14" s="1">
        <f t="shared" si="5"/>
        <v>1.2354059986838931E-4</v>
      </c>
      <c r="AG14" s="1">
        <f t="shared" si="6"/>
        <v>6.3593300471254468E-4</v>
      </c>
      <c r="AH14" s="1">
        <f t="shared" si="7"/>
        <v>2.9185155852030548E-3</v>
      </c>
      <c r="AI14" s="1">
        <f t="shared" si="8"/>
        <v>1.1774894638322417E-2</v>
      </c>
      <c r="AJ14" s="1">
        <f t="shared" si="9"/>
        <v>4.1110232864046886E-2</v>
      </c>
      <c r="AK14" s="1">
        <f t="shared" si="10"/>
        <v>0.12225684268324065</v>
      </c>
      <c r="AL14" s="1">
        <f t="shared" si="11"/>
        <v>0.30564700851709148</v>
      </c>
      <c r="AM14" s="1">
        <f t="shared" si="12"/>
        <v>0.63908873125581522</v>
      </c>
      <c r="AN14" s="3">
        <f t="shared" si="13"/>
        <v>1.1292051369415266</v>
      </c>
      <c r="AO14" s="1">
        <f t="shared" si="14"/>
        <v>1.7351751362037429</v>
      </c>
      <c r="AP14" s="1">
        <f t="shared" si="15"/>
        <v>2.4053048064300731</v>
      </c>
      <c r="AQ14" s="1">
        <f t="shared" si="16"/>
        <v>3.1044910785162472</v>
      </c>
      <c r="AR14" s="1">
        <f t="shared" si="17"/>
        <v>3.8161811515153206</v>
      </c>
      <c r="AS14" s="1">
        <f t="shared" si="18"/>
        <v>4.5343882330673297</v>
      </c>
      <c r="AT14" s="1">
        <f t="shared" si="19"/>
        <v>5.2573635828781073</v>
      </c>
      <c r="AU14" s="1">
        <f t="shared" si="20"/>
        <v>5.9846898468400527</v>
      </c>
      <c r="AV14" s="1">
        <f t="shared" si="21"/>
        <v>6.7162961242568313</v>
      </c>
      <c r="AW14" s="1">
        <f t="shared" si="22"/>
        <v>7.4521889884528676</v>
      </c>
      <c r="AX14" s="9">
        <f t="shared" si="23"/>
        <v>8.1923903706129995</v>
      </c>
    </row>
    <row r="15" spans="1:50" x14ac:dyDescent="0.2">
      <c r="A15" s="32" t="s">
        <v>11</v>
      </c>
      <c r="B15" s="34">
        <f>B14/(B13^2)</f>
        <v>0.11727639245697465</v>
      </c>
      <c r="D15" s="2" t="s">
        <v>29</v>
      </c>
      <c r="E15" s="1">
        <f t="shared" si="0"/>
        <v>4.794520547945208E-5</v>
      </c>
      <c r="F15" s="8">
        <v>0</v>
      </c>
      <c r="G15" s="1" cm="1">
        <f t="array" ref="G15:Y15">TRANSPOSE(MMULT(_xlfn.ANCHORARRAY($X$90), TRANSPOSE(G16:Y16))+MMULT(_xlfn.ANCHORARRAY($D$90), TRANSPOSE(Y54:AQ54)))</f>
        <v>1.2201393774898354E-7</v>
      </c>
      <c r="H15" s="1">
        <v>7.4883091144857556E-7</v>
      </c>
      <c r="I15" s="1">
        <v>4.0686840703996383E-6</v>
      </c>
      <c r="J15" s="1">
        <v>1.9693189671311039E-5</v>
      </c>
      <c r="K15" s="1">
        <v>8.3601962259631014E-5</v>
      </c>
      <c r="L15" s="1">
        <v>3.0584699904669577E-4</v>
      </c>
      <c r="M15" s="1">
        <v>9.468015251818747E-4</v>
      </c>
      <c r="N15" s="1">
        <v>2.4406190977273325E-3</v>
      </c>
      <c r="O15" s="1">
        <v>5.1975978168715383E-3</v>
      </c>
      <c r="P15" s="3">
        <v>9.2335439310541993E-3</v>
      </c>
      <c r="Q15" s="1">
        <v>1.4130267720508712E-2</v>
      </c>
      <c r="R15" s="1">
        <v>1.9411949919561144E-2</v>
      </c>
      <c r="S15" s="1">
        <v>2.4782602106542168E-2</v>
      </c>
      <c r="T15" s="1">
        <v>3.0114742306842981E-2</v>
      </c>
      <c r="U15" s="1">
        <v>3.5366838278810091E-2</v>
      </c>
      <c r="V15" s="1">
        <v>4.0528595147487398E-2</v>
      </c>
      <c r="W15" s="1">
        <v>4.559864018381541E-2</v>
      </c>
      <c r="X15" s="1">
        <v>5.0577707387671977E-2</v>
      </c>
      <c r="Y15" s="1">
        <v>5.5466948756742164E-2</v>
      </c>
      <c r="Z15" s="9">
        <f t="shared" si="1"/>
        <v>6.0267579072566191E-2</v>
      </c>
      <c r="AB15" s="2" t="s">
        <v>77</v>
      </c>
      <c r="AC15" s="1">
        <f t="shared" si="2"/>
        <v>9.589041095890408E-3</v>
      </c>
      <c r="AD15" s="8">
        <f t="shared" si="3"/>
        <v>0</v>
      </c>
      <c r="AE15" s="1">
        <f t="shared" si="4"/>
        <v>1.3289010561287855E-5</v>
      </c>
      <c r="AF15" s="1">
        <f t="shared" si="5"/>
        <v>8.2515734271318124E-5</v>
      </c>
      <c r="AG15" s="1">
        <f t="shared" si="6"/>
        <v>4.5360389527076525E-4</v>
      </c>
      <c r="AH15" s="1">
        <f t="shared" si="7"/>
        <v>2.2213074452954147E-3</v>
      </c>
      <c r="AI15" s="1">
        <f t="shared" si="8"/>
        <v>9.5406701525624898E-3</v>
      </c>
      <c r="AJ15" s="1">
        <f t="shared" si="9"/>
        <v>3.5313148081912778E-2</v>
      </c>
      <c r="AK15" s="1">
        <f t="shared" si="10"/>
        <v>0.11060148615011969</v>
      </c>
      <c r="AL15" s="1">
        <f t="shared" si="11"/>
        <v>0.28845084849200736</v>
      </c>
      <c r="AM15" s="1">
        <f t="shared" si="12"/>
        <v>0.62150451589639888</v>
      </c>
      <c r="AN15" s="3">
        <f t="shared" si="13"/>
        <v>1.1170685859485303</v>
      </c>
      <c r="AO15" s="1">
        <f t="shared" si="14"/>
        <v>1.7295439842631952</v>
      </c>
      <c r="AP15" s="1">
        <f t="shared" si="15"/>
        <v>2.4039209633272085</v>
      </c>
      <c r="AQ15" s="1">
        <f t="shared" si="16"/>
        <v>3.1050437835502156</v>
      </c>
      <c r="AR15" s="1">
        <f t="shared" si="17"/>
        <v>3.8174185299133021</v>
      </c>
      <c r="AS15" s="1">
        <f t="shared" si="18"/>
        <v>4.5358289052973273</v>
      </c>
      <c r="AT15" s="1">
        <f t="shared" si="19"/>
        <v>5.2588620605484966</v>
      </c>
      <c r="AU15" s="1">
        <f t="shared" si="20"/>
        <v>5.9862096519274361</v>
      </c>
      <c r="AV15" s="1">
        <f t="shared" si="21"/>
        <v>6.7178294286565912</v>
      </c>
      <c r="AW15" s="1">
        <f t="shared" si="22"/>
        <v>7.4537343535473113</v>
      </c>
      <c r="AX15" s="9">
        <f t="shared" si="23"/>
        <v>8.1939476102975881</v>
      </c>
    </row>
    <row r="16" spans="1:50" x14ac:dyDescent="0.2">
      <c r="A16" s="32" t="s">
        <v>88</v>
      </c>
      <c r="B16" s="46">
        <f>2*(B5-B6)/B4^2</f>
        <v>-2.9999999999999991</v>
      </c>
      <c r="D16" s="2" t="s">
        <v>30</v>
      </c>
      <c r="E16" s="1">
        <f t="shared" si="0"/>
        <v>4.3949771689497739E-5</v>
      </c>
      <c r="F16" s="8">
        <v>0</v>
      </c>
      <c r="G16" s="1" cm="1">
        <f t="array" ref="G16:Y16">TRANSPOSE(MMULT(_xlfn.ANCHORARRAY($X$90), TRANSPOSE(G17:Y17))+MMULT(_xlfn.ANCHORARRAY($D$90), TRANSPOSE(Y55:AQ55)))</f>
        <v>7.2877617168282682E-8</v>
      </c>
      <c r="H16" s="1">
        <v>4.7890977111275359E-7</v>
      </c>
      <c r="I16" s="1">
        <v>2.7950681441208129E-6</v>
      </c>
      <c r="J16" s="1">
        <v>1.4526476940463083E-5</v>
      </c>
      <c r="K16" s="1">
        <v>6.6085345629867962E-5</v>
      </c>
      <c r="L16" s="1">
        <v>2.5803161074454281E-4</v>
      </c>
      <c r="M16" s="1">
        <v>8.4669913604912446E-4</v>
      </c>
      <c r="N16" s="1">
        <v>2.2896227893241528E-3</v>
      </c>
      <c r="O16" s="1">
        <v>5.0444356576250177E-3</v>
      </c>
      <c r="P16" s="3">
        <v>9.1322673292642854E-3</v>
      </c>
      <c r="Q16" s="1">
        <v>1.4086465206307772E-2</v>
      </c>
      <c r="R16" s="1">
        <v>1.9402700949530002E-2</v>
      </c>
      <c r="S16" s="1">
        <v>2.4787696147849019E-2</v>
      </c>
      <c r="T16" s="1">
        <v>3.0124330924853348E-2</v>
      </c>
      <c r="U16" s="1">
        <v>3.5377488222037248E-2</v>
      </c>
      <c r="V16" s="1">
        <v>4.0539363360055029E-2</v>
      </c>
      <c r="W16" s="1">
        <v>4.5609312134498467E-2</v>
      </c>
      <c r="X16" s="1">
        <v>5.0588242169733934E-2</v>
      </c>
      <c r="Y16" s="1">
        <v>5.5477340704784162E-2</v>
      </c>
      <c r="Z16" s="9">
        <f t="shared" si="1"/>
        <v>6.0277828811002521E-2</v>
      </c>
      <c r="AB16" s="2" t="s">
        <v>78</v>
      </c>
      <c r="AC16" s="1">
        <f t="shared" si="2"/>
        <v>1.0388127853881277E-2</v>
      </c>
      <c r="AD16" s="8">
        <f t="shared" si="3"/>
        <v>0</v>
      </c>
      <c r="AE16" s="1">
        <f t="shared" si="4"/>
        <v>7.9375421333731045E-6</v>
      </c>
      <c r="AF16" s="1">
        <f t="shared" si="5"/>
        <v>5.2773436921984335E-5</v>
      </c>
      <c r="AG16" s="1">
        <f t="shared" si="6"/>
        <v>3.1161896676298314E-4</v>
      </c>
      <c r="AH16" s="1">
        <f t="shared" si="7"/>
        <v>1.6385571126616785E-3</v>
      </c>
      <c r="AI16" s="1">
        <f t="shared" si="8"/>
        <v>7.5418215461872558E-3</v>
      </c>
      <c r="AJ16" s="1">
        <f t="shared" si="9"/>
        <v>2.9792970146483952E-2</v>
      </c>
      <c r="AK16" s="1">
        <f t="shared" si="10"/>
        <v>9.8909909925808004E-2</v>
      </c>
      <c r="AL16" s="1">
        <f t="shared" si="11"/>
        <v>0.27061036720071907</v>
      </c>
      <c r="AM16" s="1">
        <f t="shared" si="12"/>
        <v>0.60320214908197034</v>
      </c>
      <c r="AN16" s="3">
        <f t="shared" si="13"/>
        <v>1.104838274955519</v>
      </c>
      <c r="AO16" s="1">
        <f t="shared" si="14"/>
        <v>1.7242170035879139</v>
      </c>
      <c r="AP16" s="1">
        <f t="shared" si="15"/>
        <v>2.4028235981765929</v>
      </c>
      <c r="AQ16" s="1">
        <f t="shared" si="16"/>
        <v>3.1057440658280266</v>
      </c>
      <c r="AR16" s="1">
        <f t="shared" si="17"/>
        <v>3.8187102928875571</v>
      </c>
      <c r="AS16" s="1">
        <f t="shared" si="18"/>
        <v>4.5372854113328547</v>
      </c>
      <c r="AT16" s="1">
        <f t="shared" si="19"/>
        <v>5.2603643958225783</v>
      </c>
      <c r="AU16" s="1">
        <f t="shared" si="20"/>
        <v>5.9877302870381506</v>
      </c>
      <c r="AV16" s="1">
        <f t="shared" si="21"/>
        <v>6.7193629113991546</v>
      </c>
      <c r="AW16" s="1">
        <f t="shared" si="22"/>
        <v>7.4552797734922969</v>
      </c>
      <c r="AX16" s="9">
        <f t="shared" si="23"/>
        <v>8.195504880568512</v>
      </c>
    </row>
    <row r="17" spans="1:50" x14ac:dyDescent="0.2">
      <c r="A17" s="32" t="s">
        <v>119</v>
      </c>
      <c r="B17" s="46">
        <f>2*B5/B4^2</f>
        <v>0.99999999999999978</v>
      </c>
      <c r="D17" s="2" t="s">
        <v>31</v>
      </c>
      <c r="E17" s="1">
        <f t="shared" si="0"/>
        <v>3.9954337899543399E-5</v>
      </c>
      <c r="F17" s="8">
        <v>0</v>
      </c>
      <c r="G17" s="1" cm="1">
        <f t="array" ref="G17:Y17">TRANSPOSE(MMULT(_xlfn.ANCHORARRAY($X$90), TRANSPOSE(G18:Y18))+MMULT(_xlfn.ANCHORARRAY($D$90), TRANSPOSE(Y56:AQ56)))</f>
        <v>4.1101389264401414E-8</v>
      </c>
      <c r="H17" s="1">
        <v>2.909514711777363E-7</v>
      </c>
      <c r="I17" s="1">
        <v>1.8360655408241997E-6</v>
      </c>
      <c r="J17" s="1">
        <v>1.0320501206367746E-5</v>
      </c>
      <c r="K17" s="1">
        <v>5.0705053961375451E-5</v>
      </c>
      <c r="L17" s="1">
        <v>2.1299356060076904E-4</v>
      </c>
      <c r="M17" s="1">
        <v>7.4662757991414755E-4</v>
      </c>
      <c r="N17" s="1">
        <v>2.1325988280009008E-3</v>
      </c>
      <c r="O17" s="1">
        <v>4.8845251915967782E-3</v>
      </c>
      <c r="P17" s="3">
        <v>9.0305027559372357E-3</v>
      </c>
      <c r="Q17" s="1">
        <v>1.4045579730673103E-2</v>
      </c>
      <c r="R17" s="1">
        <v>1.9395868725215062E-2</v>
      </c>
      <c r="S17" s="1">
        <v>2.4793913177368666E-2</v>
      </c>
      <c r="T17" s="1">
        <v>3.0134294504419845E-2</v>
      </c>
      <c r="U17" s="1">
        <v>3.5388237109782221E-2</v>
      </c>
      <c r="V17" s="1">
        <v>4.0550153238706109E-2</v>
      </c>
      <c r="W17" s="1">
        <v>4.5619988047730611E-2</v>
      </c>
      <c r="X17" s="1">
        <v>5.0598777448039256E-2</v>
      </c>
      <c r="Y17" s="1">
        <v>5.5487732550760803E-2</v>
      </c>
      <c r="Z17" s="9">
        <f t="shared" si="1"/>
        <v>6.0288078340831275E-2</v>
      </c>
      <c r="AB17" s="2" t="s">
        <v>79</v>
      </c>
      <c r="AC17" s="1">
        <f t="shared" si="2"/>
        <v>1.1187214611872144E-2</v>
      </c>
      <c r="AD17" s="8">
        <f t="shared" si="3"/>
        <v>0</v>
      </c>
      <c r="AE17" s="1">
        <f t="shared" si="4"/>
        <v>4.4766903639260498E-6</v>
      </c>
      <c r="AF17" s="1">
        <f t="shared" si="5"/>
        <v>3.2062022494480033E-5</v>
      </c>
      <c r="AG17" s="1">
        <f t="shared" si="6"/>
        <v>2.0470494719511878E-4</v>
      </c>
      <c r="AH17" s="1">
        <f t="shared" si="7"/>
        <v>1.1641548435408918E-3</v>
      </c>
      <c r="AI17" s="1">
        <f t="shared" si="8"/>
        <v>5.7867005814454262E-3</v>
      </c>
      <c r="AJ17" s="1">
        <f t="shared" si="9"/>
        <v>2.4593256402439072E-2</v>
      </c>
      <c r="AK17" s="1">
        <f t="shared" si="10"/>
        <v>8.7221468452248638E-2</v>
      </c>
      <c r="AL17" s="1">
        <f t="shared" si="11"/>
        <v>0.252056750847514</v>
      </c>
      <c r="AM17" s="1">
        <f t="shared" si="12"/>
        <v>0.58409208744765528</v>
      </c>
      <c r="AN17" s="3">
        <f t="shared" si="13"/>
        <v>1.0925484379963089</v>
      </c>
      <c r="AO17" s="1">
        <f t="shared" si="14"/>
        <v>1.7192468690085765</v>
      </c>
      <c r="AP17" s="1">
        <f t="shared" si="15"/>
        <v>2.4020254831322712</v>
      </c>
      <c r="AQ17" s="1">
        <f t="shared" si="16"/>
        <v>3.1065850810914681</v>
      </c>
      <c r="AR17" s="1">
        <f t="shared" si="17"/>
        <v>3.8200496388951448</v>
      </c>
      <c r="AS17" s="1">
        <f t="shared" si="18"/>
        <v>4.5387546639831333</v>
      </c>
      <c r="AT17" s="1">
        <f t="shared" si="19"/>
        <v>5.2618696004579339</v>
      </c>
      <c r="AU17" s="1">
        <f t="shared" si="20"/>
        <v>5.9892515007423546</v>
      </c>
      <c r="AV17" s="1">
        <f t="shared" si="21"/>
        <v>6.720896518645203</v>
      </c>
      <c r="AW17" s="1">
        <f t="shared" si="22"/>
        <v>7.4568252384931339</v>
      </c>
      <c r="AX17" s="9">
        <f t="shared" si="23"/>
        <v>8.1970621814262881</v>
      </c>
    </row>
    <row r="18" spans="1:50" x14ac:dyDescent="0.2">
      <c r="A18" s="32" t="s">
        <v>120</v>
      </c>
      <c r="B18" s="46">
        <f>-(B16-1)/2</f>
        <v>1.9999999999999996</v>
      </c>
      <c r="D18" s="2" t="s">
        <v>32</v>
      </c>
      <c r="E18" s="1">
        <f t="shared" si="0"/>
        <v>3.5958904109589058E-5</v>
      </c>
      <c r="F18" s="8">
        <v>0</v>
      </c>
      <c r="G18" s="1" cm="1">
        <f t="array" ref="G18:Y18">TRANSPOSE(MMULT(_xlfn.ANCHORARRAY($X$90), TRANSPOSE(G19:Y19))+MMULT(_xlfn.ANCHORARRAY($D$90), TRANSPOSE(Y57:AQ57)))</f>
        <v>2.1653310733521207E-8</v>
      </c>
      <c r="H18" s="1">
        <v>1.6622022032345429E-7</v>
      </c>
      <c r="I18" s="1">
        <v>1.1426562887773856E-6</v>
      </c>
      <c r="J18" s="1">
        <v>7.0049853253174517E-6</v>
      </c>
      <c r="K18" s="1">
        <v>3.750911183148357E-5</v>
      </c>
      <c r="L18" s="1">
        <v>1.7114932624570046E-4</v>
      </c>
      <c r="M18" s="1">
        <v>6.4704432687677786E-4</v>
      </c>
      <c r="N18" s="1">
        <v>1.9688680660118058E-3</v>
      </c>
      <c r="O18" s="1">
        <v>4.7169569917613983E-3</v>
      </c>
      <c r="P18" s="3">
        <v>8.9286576500264992E-3</v>
      </c>
      <c r="Q18" s="1">
        <v>1.4008097894680688E-2</v>
      </c>
      <c r="R18" s="1">
        <v>1.939153125207355E-2</v>
      </c>
      <c r="S18" s="1">
        <v>2.4801179250194889E-2</v>
      </c>
      <c r="T18" s="1">
        <v>3.0144576725087538E-2</v>
      </c>
      <c r="U18" s="1">
        <v>3.539906270066924E-2</v>
      </c>
      <c r="V18" s="1">
        <v>4.0560958442365805E-2</v>
      </c>
      <c r="W18" s="1">
        <v>4.5630666471919955E-2</v>
      </c>
      <c r="X18" s="1">
        <v>5.0609312941078496E-2</v>
      </c>
      <c r="Y18" s="1">
        <v>5.5498124248037344E-2</v>
      </c>
      <c r="Z18" s="9">
        <f t="shared" si="1"/>
        <v>6.0298327662055784E-2</v>
      </c>
      <c r="AB18" s="2" t="s">
        <v>80</v>
      </c>
      <c r="AC18" s="1">
        <f t="shared" si="2"/>
        <v>1.1986301369863013E-2</v>
      </c>
      <c r="AD18" s="8">
        <f t="shared" si="3"/>
        <v>0</v>
      </c>
      <c r="AE18" s="1">
        <f t="shared" si="4"/>
        <v>2.3584872860093591E-6</v>
      </c>
      <c r="AF18" s="1">
        <f t="shared" si="5"/>
        <v>1.8317360238779685E-5</v>
      </c>
      <c r="AG18" s="1">
        <f t="shared" si="6"/>
        <v>1.2739853938197214E-4</v>
      </c>
      <c r="AH18" s="1">
        <f t="shared" si="7"/>
        <v>7.9017969626940629E-4</v>
      </c>
      <c r="AI18" s="1">
        <f t="shared" si="8"/>
        <v>4.2808027692430375E-3</v>
      </c>
      <c r="AJ18" s="1">
        <f t="shared" si="9"/>
        <v>1.9762115524616344E-2</v>
      </c>
      <c r="AK18" s="1">
        <f t="shared" si="10"/>
        <v>7.5589604922270071E-2</v>
      </c>
      <c r="AL18" s="1">
        <f t="shared" si="11"/>
        <v>0.23270968507943332</v>
      </c>
      <c r="AM18" s="1">
        <f t="shared" si="12"/>
        <v>0.56406553104709267</v>
      </c>
      <c r="AN18" s="3">
        <f t="shared" si="13"/>
        <v>1.0802483661915507</v>
      </c>
      <c r="AO18" s="1">
        <f t="shared" si="14"/>
        <v>1.7146931654324147</v>
      </c>
      <c r="AP18" s="1">
        <f t="shared" si="15"/>
        <v>2.4015362966843705</v>
      </c>
      <c r="AQ18" s="1">
        <f t="shared" si="16"/>
        <v>3.1075575725674049</v>
      </c>
      <c r="AR18" s="1">
        <f t="shared" si="17"/>
        <v>3.8214294310395354</v>
      </c>
      <c r="AS18" s="1">
        <f t="shared" si="18"/>
        <v>4.5402338113629277</v>
      </c>
      <c r="AT18" s="1">
        <f t="shared" si="19"/>
        <v>5.2633768517776858</v>
      </c>
      <c r="AU18" s="1">
        <f t="shared" si="20"/>
        <v>5.990773102495905</v>
      </c>
      <c r="AV18" s="1">
        <f t="shared" si="21"/>
        <v>6.7224302130075477</v>
      </c>
      <c r="AW18" s="1">
        <f t="shared" si="22"/>
        <v>7.4583707422835035</v>
      </c>
      <c r="AX18" s="9">
        <f t="shared" si="23"/>
        <v>8.198619512871403</v>
      </c>
    </row>
    <row r="19" spans="1:50" x14ac:dyDescent="0.2">
      <c r="A19" s="32" t="s">
        <v>121</v>
      </c>
      <c r="B19" s="46">
        <f>-((B16-1)^2/4+B17)</f>
        <v>-4.9999999999999982</v>
      </c>
      <c r="D19" s="2" t="s">
        <v>33</v>
      </c>
      <c r="E19" s="1">
        <f t="shared" si="0"/>
        <v>3.1963470319634718E-5</v>
      </c>
      <c r="F19" s="8">
        <v>0</v>
      </c>
      <c r="G19" s="1" cm="1">
        <f t="array" ref="G19:Y19">TRANSPOSE(MMULT(_xlfn.ANCHORARRAY($X$90), TRANSPOSE(G20:Y20))+MMULT(_xlfn.ANCHORARRAY($D$90), TRANSPOSE(Y58:AQ58)))</f>
        <v>1.0510522635736056E-8</v>
      </c>
      <c r="H19" s="1">
        <v>8.8133552510933228E-8</v>
      </c>
      <c r="I19" s="1">
        <v>6.6555641805006072E-7</v>
      </c>
      <c r="J19" s="1">
        <v>4.4934189691930826E-6</v>
      </c>
      <c r="K19" s="1">
        <v>2.651106001423211E-5</v>
      </c>
      <c r="L19" s="1">
        <v>1.3295042571415941E-4</v>
      </c>
      <c r="M19" s="1">
        <v>5.4856876319852395E-4</v>
      </c>
      <c r="N19" s="1">
        <v>1.7976340935629347E-3</v>
      </c>
      <c r="O19" s="1">
        <v>4.5406122690797692E-3</v>
      </c>
      <c r="P19" s="3">
        <v>8.8273141013637223E-3</v>
      </c>
      <c r="Q19" s="1">
        <v>1.3974561921867461E-2</v>
      </c>
      <c r="R19" s="1">
        <v>1.9389730074625817E-2</v>
      </c>
      <c r="S19" s="1">
        <v>2.4809400381570611E-2</v>
      </c>
      <c r="T19" s="1">
        <v>3.0155120252224738E-2</v>
      </c>
      <c r="U19" s="1">
        <v>3.5409945151061079E-2</v>
      </c>
      <c r="V19" s="1">
        <v>4.0571773906782897E-2</v>
      </c>
      <c r="W19" s="1">
        <v>4.5641346358413375E-2</v>
      </c>
      <c r="X19" s="1">
        <v>5.0619848463588239E-2</v>
      </c>
      <c r="Y19" s="1">
        <v>5.5508515768594148E-2</v>
      </c>
      <c r="Z19" s="9">
        <f t="shared" si="1"/>
        <v>6.0308576774679823E-2</v>
      </c>
      <c r="AB19" s="2" t="s">
        <v>81</v>
      </c>
      <c r="AC19" s="1">
        <f t="shared" si="2"/>
        <v>1.278538812785388E-2</v>
      </c>
      <c r="AD19" s="8">
        <f t="shared" si="3"/>
        <v>0</v>
      </c>
      <c r="AE19" s="1">
        <f t="shared" si="4"/>
        <v>1.1448332095003882E-6</v>
      </c>
      <c r="AF19" s="1">
        <f t="shared" si="5"/>
        <v>9.712454226504633E-6</v>
      </c>
      <c r="AG19" s="1">
        <f t="shared" si="6"/>
        <v>7.4206574862477391E-5</v>
      </c>
      <c r="AH19" s="1">
        <f t="shared" si="7"/>
        <v>5.068789159726585E-4</v>
      </c>
      <c r="AI19" s="1">
        <f t="shared" si="8"/>
        <v>3.0256884470721565E-3</v>
      </c>
      <c r="AJ19" s="1">
        <f t="shared" si="9"/>
        <v>1.5351706125971297E-2</v>
      </c>
      <c r="AK19" s="1">
        <f t="shared" si="10"/>
        <v>6.4086682695315769E-2</v>
      </c>
      <c r="AL19" s="1">
        <f t="shared" si="11"/>
        <v>0.21247498910294382</v>
      </c>
      <c r="AM19" s="1">
        <f t="shared" si="12"/>
        <v>0.54298863470759473</v>
      </c>
      <c r="AN19" s="3">
        <f t="shared" si="13"/>
        <v>1.0680084854474354</v>
      </c>
      <c r="AO19" s="1">
        <f t="shared" si="14"/>
        <v>1.7106222912573887</v>
      </c>
      <c r="AP19" s="1">
        <f t="shared" si="15"/>
        <v>2.4013612025156097</v>
      </c>
      <c r="AQ19" s="1">
        <f t="shared" si="16"/>
        <v>3.1086497717235804</v>
      </c>
      <c r="AR19" s="1">
        <f t="shared" si="17"/>
        <v>3.8228424032839805</v>
      </c>
      <c r="AS19" s="1">
        <f t="shared" si="18"/>
        <v>4.5417203088957843</v>
      </c>
      <c r="AT19" s="1">
        <f t="shared" si="19"/>
        <v>5.2648854927290376</v>
      </c>
      <c r="AU19" s="1">
        <f t="shared" si="20"/>
        <v>5.9922949546416389</v>
      </c>
      <c r="AV19" s="1">
        <f t="shared" si="21"/>
        <v>6.7239639698806135</v>
      </c>
      <c r="AW19" s="1">
        <f t="shared" si="22"/>
        <v>7.4599162810983159</v>
      </c>
      <c r="AX19" s="9">
        <f t="shared" si="23"/>
        <v>8.2001768749044039</v>
      </c>
    </row>
    <row r="20" spans="1:50" x14ac:dyDescent="0.2">
      <c r="A20" s="36" t="s">
        <v>148</v>
      </c>
      <c r="B20" s="37">
        <f>B2*EXP(-B6*B8)*_xlfn.NORM.DIST((LN(B2/B3) + B8*(B5 - B6 + B4^2/2))/(B4*SQRT(B8)), 0, 1, TRUE) - B3*EXP(-B5*B8)*_xlfn.NORM.DIST((LN(B2/B3) + B8*(B5 - B6 - B4^2/2))/(B4*SQRT(B8)), 0, 1, TRUE)</f>
        <v>1.2520172607926696</v>
      </c>
      <c r="D20" s="2" t="s">
        <v>34</v>
      </c>
      <c r="E20" s="1">
        <f t="shared" si="0"/>
        <v>2.7968036529680377E-5</v>
      </c>
      <c r="F20" s="8">
        <v>0</v>
      </c>
      <c r="G20" s="1" cm="1">
        <f t="array" ref="G20:Y20">TRANSPOSE(MMULT(_xlfn.ANCHORARRAY($X$90), TRANSPOSE(G21:Y21))+MMULT(_xlfn.ANCHORARRAY($D$90), TRANSPOSE(Y59:AQ59)))</f>
        <v>4.6172446672256147E-9</v>
      </c>
      <c r="H20" s="1">
        <v>4.2624356785148104E-8</v>
      </c>
      <c r="I20" s="1">
        <v>3.5693319592118079E-7</v>
      </c>
      <c r="J20" s="1">
        <v>2.6839796294349605E-6</v>
      </c>
      <c r="K20" s="1">
        <v>1.7678938564654482E-5</v>
      </c>
      <c r="L20" s="1">
        <v>9.887279246914224E-5</v>
      </c>
      <c r="M20" s="1">
        <v>4.5203845065044067E-4</v>
      </c>
      <c r="N20" s="1">
        <v>1.6179590586572143E-3</v>
      </c>
      <c r="O20" s="1">
        <v>4.3540964582010318E-3</v>
      </c>
      <c r="P20" s="3">
        <v>8.7273005880484263E-3</v>
      </c>
      <c r="Q20" s="1">
        <v>1.3945562239811093E-2</v>
      </c>
      <c r="R20" s="1">
        <v>1.9390456323926154E-2</v>
      </c>
      <c r="S20" s="1">
        <v>2.4818462993955136E-2</v>
      </c>
      <c r="T20" s="1">
        <v>3.0165868750345572E-2</v>
      </c>
      <c r="U20" s="1">
        <v>3.5420867487494102E-2</v>
      </c>
      <c r="V20" s="1">
        <v>4.0582595784957563E-2</v>
      </c>
      <c r="W20" s="1">
        <v>4.5652026991784923E-2</v>
      </c>
      <c r="X20" s="1">
        <v>5.0630383901158142E-2</v>
      </c>
      <c r="Y20" s="1">
        <v>5.5518907096872801E-2</v>
      </c>
      <c r="Z20" s="9">
        <f t="shared" si="1"/>
        <v>6.0318825678706722E-2</v>
      </c>
      <c r="AB20" s="2" t="s">
        <v>82</v>
      </c>
      <c r="AC20" s="1">
        <f t="shared" si="2"/>
        <v>1.3584474885844747E-2</v>
      </c>
      <c r="AD20" s="8">
        <f t="shared" si="3"/>
        <v>0</v>
      </c>
      <c r="AE20" s="1">
        <f t="shared" si="4"/>
        <v>5.0293223415234313E-7</v>
      </c>
      <c r="AF20" s="1">
        <f t="shared" si="5"/>
        <v>4.6973640887983992E-6</v>
      </c>
      <c r="AG20" s="1">
        <f t="shared" si="6"/>
        <v>3.9797255862986341E-5</v>
      </c>
      <c r="AH20" s="1">
        <f t="shared" si="7"/>
        <v>3.0277164730303601E-4</v>
      </c>
      <c r="AI20" s="1">
        <f t="shared" si="8"/>
        <v>2.0177250080336087E-3</v>
      </c>
      <c r="AJ20" s="1">
        <f t="shared" si="9"/>
        <v>1.1417010277750805E-2</v>
      </c>
      <c r="AK20" s="1">
        <f t="shared" si="10"/>
        <v>5.2810559830766698E-2</v>
      </c>
      <c r="AL20" s="1">
        <f t="shared" si="11"/>
        <v>0.1912417562198776</v>
      </c>
      <c r="AM20" s="1">
        <f t="shared" si="12"/>
        <v>0.52069456322346752</v>
      </c>
      <c r="AN20" s="3">
        <f t="shared" si="13"/>
        <v>1.0559290381797268</v>
      </c>
      <c r="AO20" s="1">
        <f t="shared" si="14"/>
        <v>1.7071065509476053</v>
      </c>
      <c r="AP20" s="1">
        <f t="shared" si="15"/>
        <v>2.4014991210359469</v>
      </c>
      <c r="AQ20" s="1">
        <f t="shared" si="16"/>
        <v>3.1098474540369758</v>
      </c>
      <c r="AR20" s="1">
        <f t="shared" si="17"/>
        <v>3.8242814156778309</v>
      </c>
      <c r="AS20" s="1">
        <f t="shared" si="18"/>
        <v>4.5432119799410087</v>
      </c>
      <c r="AT20" s="1">
        <f t="shared" si="19"/>
        <v>5.2663950241691397</v>
      </c>
      <c r="AU20" s="1">
        <f t="shared" si="20"/>
        <v>5.9938169632619704</v>
      </c>
      <c r="AV20" s="1">
        <f t="shared" si="21"/>
        <v>6.7254977740686375</v>
      </c>
      <c r="AW20" s="1">
        <f t="shared" si="22"/>
        <v>7.4614618528469112</v>
      </c>
      <c r="AX20" s="9">
        <f t="shared" si="23"/>
        <v>8.2017342675257758</v>
      </c>
    </row>
    <row r="21" spans="1:50" x14ac:dyDescent="0.2">
      <c r="D21" s="2" t="s">
        <v>35</v>
      </c>
      <c r="E21" s="1">
        <f t="shared" si="0"/>
        <v>2.3972602739726037E-5</v>
      </c>
      <c r="F21" s="8">
        <v>0</v>
      </c>
      <c r="G21" s="1" cm="1">
        <f t="array" ref="G21:Y21">TRANSPOSE(MMULT(_xlfn.ANCHORARRAY($X$90), TRANSPOSE(G22:Y22))+MMULT(_xlfn.ANCHORARRAY($D$90), TRANSPOSE(Y60:AQ60)))</f>
        <v>1.792512376073997E-9</v>
      </c>
      <c r="H21" s="1">
        <v>1.8367380746812109E-8</v>
      </c>
      <c r="I21" s="1">
        <v>1.7231245606918949E-7</v>
      </c>
      <c r="J21" s="1">
        <v>1.4619922933701636E-6</v>
      </c>
      <c r="K21" s="1">
        <v>1.0923202426681205E-5</v>
      </c>
      <c r="L21" s="1">
        <v>6.9396021536806231E-5</v>
      </c>
      <c r="M21" s="1">
        <v>3.5858594612917904E-4</v>
      </c>
      <c r="N21" s="1">
        <v>1.4287347547445491E-3</v>
      </c>
      <c r="O21" s="1">
        <v>4.1556470693637614E-3</v>
      </c>
      <c r="P21" s="3">
        <v>8.6297950640741652E-3</v>
      </c>
      <c r="Q21" s="1">
        <v>1.3921718472492477E-2</v>
      </c>
      <c r="R21" s="1">
        <v>1.9393634632349957E-2</v>
      </c>
      <c r="S21" s="1">
        <v>2.4828236190743539E-2</v>
      </c>
      <c r="T21" s="1">
        <v>3.0176769197870594E-2</v>
      </c>
      <c r="U21" s="1">
        <v>3.5431815928979524E-2</v>
      </c>
      <c r="V21" s="1">
        <v>4.0593421328443423E-2</v>
      </c>
      <c r="W21" s="1">
        <v>4.5662707916586491E-2</v>
      </c>
      <c r="X21" s="1">
        <v>5.0640919188304885E-2</v>
      </c>
      <c r="Y21" s="1">
        <v>5.5529298225130454E-2</v>
      </c>
      <c r="Z21" s="9">
        <f t="shared" si="1"/>
        <v>6.0329074374139924E-2</v>
      </c>
      <c r="AB21" s="2" t="s">
        <v>83</v>
      </c>
      <c r="AC21" s="1">
        <f t="shared" si="2"/>
        <v>1.4383561643835616E-2</v>
      </c>
      <c r="AD21" s="8">
        <f t="shared" si="3"/>
        <v>0</v>
      </c>
      <c r="AE21" s="1">
        <f t="shared" si="4"/>
        <v>1.9525286807658576E-7</v>
      </c>
      <c r="AF21" s="1">
        <f t="shared" si="5"/>
        <v>2.0241947291580651E-6</v>
      </c>
      <c r="AG21" s="1">
        <f t="shared" si="6"/>
        <v>1.9212838640372772E-5</v>
      </c>
      <c r="AH21" s="1">
        <f t="shared" si="7"/>
        <v>1.6492623607567629E-4</v>
      </c>
      <c r="AI21" s="1">
        <f t="shared" si="8"/>
        <v>1.2467071439327734E-3</v>
      </c>
      <c r="AJ21" s="1">
        <f t="shared" si="9"/>
        <v>8.0134372591833258E-3</v>
      </c>
      <c r="AK21" s="1">
        <f t="shared" si="10"/>
        <v>4.1893566463634742E-2</v>
      </c>
      <c r="AL21" s="1">
        <f t="shared" si="11"/>
        <v>0.16887893466703316</v>
      </c>
      <c r="AM21" s="1">
        <f t="shared" si="12"/>
        <v>0.49697246810040374</v>
      </c>
      <c r="AN21" s="3">
        <f t="shared" si="13"/>
        <v>1.0441525592656682</v>
      </c>
      <c r="AO21" s="1">
        <f t="shared" si="14"/>
        <v>1.7042218288103328</v>
      </c>
      <c r="AP21" s="1">
        <f t="shared" si="15"/>
        <v>2.4019407365729122</v>
      </c>
      <c r="AQ21" s="1">
        <f t="shared" si="16"/>
        <v>3.111134223659886</v>
      </c>
      <c r="AR21" s="1">
        <f t="shared" si="17"/>
        <v>3.825739747829064</v>
      </c>
      <c r="AS21" s="1">
        <f t="shared" si="18"/>
        <v>4.5447070571708181</v>
      </c>
      <c r="AT21" s="1">
        <f t="shared" si="19"/>
        <v>5.2679050894771571</v>
      </c>
      <c r="AU21" s="1">
        <f t="shared" si="20"/>
        <v>5.995339068565908</v>
      </c>
      <c r="AV21" s="1">
        <f t="shared" si="21"/>
        <v>6.7270316168740116</v>
      </c>
      <c r="AW21" s="1">
        <f t="shared" si="22"/>
        <v>7.4630074564888478</v>
      </c>
      <c r="AX21" s="9">
        <f t="shared" si="23"/>
        <v>8.2032916907360232</v>
      </c>
    </row>
    <row r="22" spans="1:50" x14ac:dyDescent="0.2">
      <c r="D22" s="2" t="s">
        <v>36</v>
      </c>
      <c r="E22" s="1">
        <f t="shared" si="0"/>
        <v>1.9977168949771696E-5</v>
      </c>
      <c r="F22" s="8">
        <v>0</v>
      </c>
      <c r="G22" s="1" cm="1">
        <f t="array" ref="G22:Y22">TRANSPOSE(MMULT(_xlfn.ANCHORARRAY($X$90), TRANSPOSE(G23:Y23))+MMULT(_xlfn.ANCHORARRAY($D$90), TRANSPOSE(Y61:AQ61)))</f>
        <v>5.952688106064904E-10</v>
      </c>
      <c r="H22" s="1">
        <v>6.8256508270401865E-9</v>
      </c>
      <c r="I22" s="1">
        <v>7.2515378335754853E-8</v>
      </c>
      <c r="J22" s="1">
        <v>7.0438281990059192E-7</v>
      </c>
      <c r="K22" s="1">
        <v>6.0847878085639736E-6</v>
      </c>
      <c r="L22" s="1">
        <v>4.4966603137447798E-5</v>
      </c>
      <c r="M22" s="1">
        <v>2.6974403251876593E-4</v>
      </c>
      <c r="N22" s="1">
        <v>1.2286486365313347E-3</v>
      </c>
      <c r="O22" s="1">
        <v>3.9430044867395757E-3</v>
      </c>
      <c r="P22" s="3">
        <v>8.5364739701201658E-3</v>
      </c>
      <c r="Q22" s="1">
        <v>1.390364083323224E-2</v>
      </c>
      <c r="R22" s="1">
        <v>1.939910613431689E-2</v>
      </c>
      <c r="S22" s="1">
        <v>2.4838576516469996E-2</v>
      </c>
      <c r="T22" s="1">
        <v>3.0187774320872548E-2</v>
      </c>
      <c r="U22" s="1">
        <v>3.5442779998651586E-2</v>
      </c>
      <c r="V22" s="1">
        <v>4.0604248717861301E-2</v>
      </c>
      <c r="W22" s="1">
        <v>4.5673388866407635E-2</v>
      </c>
      <c r="X22" s="1">
        <v>5.0651454290822864E-2</v>
      </c>
      <c r="Y22" s="1">
        <v>5.5539689150188622E-2</v>
      </c>
      <c r="Z22" s="9">
        <f t="shared" si="1"/>
        <v>6.033932286098298E-2</v>
      </c>
      <c r="AB22" s="2" t="s">
        <v>84</v>
      </c>
      <c r="AC22" s="1">
        <f t="shared" si="2"/>
        <v>1.5182648401826485E-2</v>
      </c>
      <c r="AD22" s="8">
        <f t="shared" si="3"/>
        <v>0</v>
      </c>
      <c r="AE22" s="1">
        <f t="shared" si="4"/>
        <v>6.4842098736558309E-8</v>
      </c>
      <c r="AF22" s="1">
        <f t="shared" si="5"/>
        <v>7.5224239285221786E-7</v>
      </c>
      <c r="AG22" s="1">
        <f t="shared" si="6"/>
        <v>8.0856261218019661E-6</v>
      </c>
      <c r="AH22" s="1">
        <f t="shared" si="7"/>
        <v>7.9462476351219082E-5</v>
      </c>
      <c r="AI22" s="1">
        <f t="shared" si="8"/>
        <v>6.944941310442973E-4</v>
      </c>
      <c r="AJ22" s="1">
        <f t="shared" si="9"/>
        <v>5.1925779548544415E-3</v>
      </c>
      <c r="AK22" s="1">
        <f t="shared" si="10"/>
        <v>3.1514802605971594E-2</v>
      </c>
      <c r="AL22" s="1">
        <f t="shared" si="11"/>
        <v>0.14523130853367841</v>
      </c>
      <c r="AM22" s="1">
        <f t="shared" si="12"/>
        <v>0.47155203166747356</v>
      </c>
      <c r="AN22" s="3">
        <f t="shared" si="13"/>
        <v>1.0328819100250135</v>
      </c>
      <c r="AO22" s="1">
        <f t="shared" si="14"/>
        <v>1.7020428631900022</v>
      </c>
      <c r="AP22" s="1">
        <f t="shared" si="15"/>
        <v>2.4026663911121755</v>
      </c>
      <c r="AQ22" s="1">
        <f t="shared" si="16"/>
        <v>3.1124921096984353</v>
      </c>
      <c r="AR22" s="1">
        <f t="shared" si="17"/>
        <v>3.827211407496939</v>
      </c>
      <c r="AS22" s="1">
        <f t="shared" si="18"/>
        <v>4.5462041969322078</v>
      </c>
      <c r="AT22" s="1">
        <f t="shared" si="19"/>
        <v>5.2694154525734298</v>
      </c>
      <c r="AU22" s="1">
        <f t="shared" si="20"/>
        <v>5.9968612355780992</v>
      </c>
      <c r="AV22" s="1">
        <f t="shared" si="21"/>
        <v>6.7285654937533765</v>
      </c>
      <c r="AW22" s="1">
        <f t="shared" si="22"/>
        <v>7.4645530915970566</v>
      </c>
      <c r="AX22" s="9">
        <f t="shared" si="23"/>
        <v>8.2048491445356593</v>
      </c>
    </row>
    <row r="23" spans="1:50" x14ac:dyDescent="0.2">
      <c r="D23" s="2" t="s">
        <v>37</v>
      </c>
      <c r="E23" s="1">
        <f t="shared" si="0"/>
        <v>1.5981735159817355E-5</v>
      </c>
      <c r="F23" s="8">
        <v>0</v>
      </c>
      <c r="G23" s="1" cm="1">
        <f t="array" ref="G23:Y23">TRANSPOSE(MMULT(_xlfn.ANCHORARRAY($X$90), TRANSPOSE(G24:Y24))+MMULT(_xlfn.ANCHORARRAY($D$90), TRANSPOSE(Y62:AQ62)))</f>
        <v>1.6140605853952729E-10</v>
      </c>
      <c r="H23" s="1">
        <v>2.0866773923836754E-9</v>
      </c>
      <c r="I23" s="1">
        <v>2.5369779399987375E-8</v>
      </c>
      <c r="J23" s="1">
        <v>2.8648350949183278E-7</v>
      </c>
      <c r="K23" s="1">
        <v>2.9258019404968029E-6</v>
      </c>
      <c r="L23" s="1">
        <v>2.5936203921748045E-5</v>
      </c>
      <c r="M23" s="1">
        <v>1.8759029284725053E-4</v>
      </c>
      <c r="N23" s="1">
        <v>1.0161449493898906E-3</v>
      </c>
      <c r="O23" s="1">
        <v>3.7132289868593302E-3</v>
      </c>
      <c r="P23" s="3">
        <v>8.4497288593022336E-3</v>
      </c>
      <c r="Q23" s="1">
        <v>1.3891859100771951E-2</v>
      </c>
      <c r="R23" s="1">
        <v>1.9406613395376818E-2</v>
      </c>
      <c r="S23" s="1">
        <v>2.4849335801426318E-2</v>
      </c>
      <c r="T23" s="1">
        <v>3.019884483838043E-2</v>
      </c>
      <c r="U23" s="1">
        <v>3.5453752379031034E-2</v>
      </c>
      <c r="V23" s="1">
        <v>4.0615076859471917E-2</v>
      </c>
      <c r="W23" s="1">
        <v>4.5684069700899631E-2</v>
      </c>
      <c r="X23" s="1">
        <v>5.0661989192694837E-2</v>
      </c>
      <c r="Y23" s="1">
        <v>5.555007987136E-2</v>
      </c>
      <c r="Z23" s="9">
        <f t="shared" si="1"/>
        <v>6.0349571139239666E-2</v>
      </c>
      <c r="AB23" s="2" t="s">
        <v>85</v>
      </c>
      <c r="AC23" s="1">
        <f t="shared" si="2"/>
        <v>1.5981735159817351E-2</v>
      </c>
      <c r="AD23" s="8">
        <f t="shared" si="3"/>
        <v>0</v>
      </c>
      <c r="AE23" s="1">
        <f t="shared" si="4"/>
        <v>1.7582168726642621E-8</v>
      </c>
      <c r="AF23" s="1">
        <f t="shared" si="5"/>
        <v>2.2997346227532006E-7</v>
      </c>
      <c r="AG23" s="1">
        <f t="shared" si="6"/>
        <v>2.8288433942894248E-6</v>
      </c>
      <c r="AH23" s="1">
        <f t="shared" si="7"/>
        <v>3.2319277576651551E-5</v>
      </c>
      <c r="AI23" s="1">
        <f t="shared" si="8"/>
        <v>3.3394638124808969E-4</v>
      </c>
      <c r="AJ23" s="1">
        <f t="shared" si="9"/>
        <v>2.9950772748457469E-3</v>
      </c>
      <c r="AK23" s="1">
        <f t="shared" si="10"/>
        <v>2.1917034079679477E-2</v>
      </c>
      <c r="AL23" s="1">
        <f t="shared" si="11"/>
        <v>0.12011490059335875</v>
      </c>
      <c r="AM23" s="1">
        <f t="shared" si="12"/>
        <v>0.44408157755714195</v>
      </c>
      <c r="AN23" s="3">
        <f t="shared" si="13"/>
        <v>1.0224064956869172</v>
      </c>
      <c r="AO23" s="1">
        <f t="shared" si="14"/>
        <v>1.7006345516402681</v>
      </c>
      <c r="AP23" s="1">
        <f t="shared" si="15"/>
        <v>2.4036442166268612</v>
      </c>
      <c r="AQ23" s="1">
        <f t="shared" si="16"/>
        <v>3.1139025490746572</v>
      </c>
      <c r="AR23" s="1">
        <f t="shared" si="17"/>
        <v>3.828691415330495</v>
      </c>
      <c r="AS23" s="1">
        <f t="shared" si="18"/>
        <v>4.5477024607237242</v>
      </c>
      <c r="AT23" s="1">
        <f t="shared" si="19"/>
        <v>5.2709259715312129</v>
      </c>
      <c r="AU23" s="1">
        <f t="shared" si="20"/>
        <v>5.9983834458724807</v>
      </c>
      <c r="AV23" s="1">
        <f t="shared" si="21"/>
        <v>6.73009940257921</v>
      </c>
      <c r="AW23" s="1">
        <f t="shared" si="22"/>
        <v>7.4660987580792586</v>
      </c>
      <c r="AX23" s="9">
        <f t="shared" si="23"/>
        <v>8.2064066289252366</v>
      </c>
    </row>
    <row r="24" spans="1:50" x14ac:dyDescent="0.2">
      <c r="D24" s="2" t="s">
        <v>38</v>
      </c>
      <c r="E24" s="1">
        <f t="shared" si="0"/>
        <v>1.1986301369863017E-5</v>
      </c>
      <c r="F24" s="8">
        <v>0</v>
      </c>
      <c r="G24" s="1" cm="1">
        <f t="array" ref="G24:Y24">TRANSPOSE(MMULT(_xlfn.ANCHORARRAY($X$90), TRANSPOSE(G25:Y25))+MMULT(_xlfn.ANCHORARRAY($D$90), TRANSPOSE(Y63:AQ63)))</f>
        <v>3.3268338795088437E-11</v>
      </c>
      <c r="H24" s="1">
        <v>4.8789755155424061E-10</v>
      </c>
      <c r="I24" s="1">
        <v>6.8498567479467061E-9</v>
      </c>
      <c r="J24" s="1">
        <v>9.1214959074284535E-8</v>
      </c>
      <c r="K24" s="1">
        <v>1.1274326094634427E-6</v>
      </c>
      <c r="L24" s="1">
        <v>1.2461472758931339E-5</v>
      </c>
      <c r="M24" s="1">
        <v>1.1494626081189788E-4</v>
      </c>
      <c r="N24" s="1">
        <v>7.8938223160325831E-4</v>
      </c>
      <c r="O24" s="1">
        <v>3.4624391155020622E-3</v>
      </c>
      <c r="P24" s="3">
        <v>8.3729830619867027E-3</v>
      </c>
      <c r="Q24" s="1">
        <v>1.3886698789778204E-2</v>
      </c>
      <c r="R24" s="1">
        <v>1.9415793017815267E-2</v>
      </c>
      <c r="S24" s="1">
        <v>2.4860372326544089E-2</v>
      </c>
      <c r="T24" s="1">
        <v>3.0209951078503813E-2</v>
      </c>
      <c r="U24" s="1">
        <v>3.5464728499979774E-2</v>
      </c>
      <c r="V24" s="1">
        <v>4.062590517222562E-2</v>
      </c>
      <c r="W24" s="1">
        <v>4.5694750355179954E-2</v>
      </c>
      <c r="X24" s="1">
        <v>5.0672523887284326E-2</v>
      </c>
      <c r="Y24" s="1">
        <v>5.5560470389279019E-2</v>
      </c>
      <c r="Z24" s="9">
        <f t="shared" si="1"/>
        <v>6.035981920891309E-2</v>
      </c>
      <c r="AB24" s="2" t="s">
        <v>86</v>
      </c>
      <c r="AC24" s="1">
        <f t="shared" si="2"/>
        <v>1.678082191780822E-2</v>
      </c>
      <c r="AD24" s="8">
        <f t="shared" si="3"/>
        <v>0</v>
      </c>
      <c r="AE24" s="1">
        <f t="shared" si="4"/>
        <v>3.6240351607383437E-9</v>
      </c>
      <c r="AF24" s="1">
        <f t="shared" si="5"/>
        <v>5.3772437994765264E-8</v>
      </c>
      <c r="AG24" s="1">
        <f t="shared" si="6"/>
        <v>7.6380479359521822E-7</v>
      </c>
      <c r="AH24" s="1">
        <f t="shared" si="7"/>
        <v>1.0290506703188351E-5</v>
      </c>
      <c r="AI24" s="1">
        <f t="shared" si="8"/>
        <v>1.2868593609841842E-4</v>
      </c>
      <c r="AJ24" s="1">
        <f t="shared" si="9"/>
        <v>1.4390625397916411E-3</v>
      </c>
      <c r="AK24" s="1">
        <f t="shared" si="10"/>
        <v>1.3429967009032281E-2</v>
      </c>
      <c r="AL24" s="1">
        <f t="shared" si="11"/>
        <v>9.3311945821945463E-2</v>
      </c>
      <c r="AM24" s="1">
        <f t="shared" si="12"/>
        <v>0.41409677328260308</v>
      </c>
      <c r="AN24" s="3">
        <f t="shared" si="13"/>
        <v>1.0131405908408049</v>
      </c>
      <c r="AO24" s="1">
        <f t="shared" si="14"/>
        <v>1.7000367904919809</v>
      </c>
      <c r="AP24" s="1">
        <f t="shared" si="15"/>
        <v>2.4048292179924502</v>
      </c>
      <c r="AQ24" s="1">
        <f t="shared" si="16"/>
        <v>3.1153477855812444</v>
      </c>
      <c r="AR24" s="1">
        <f t="shared" si="17"/>
        <v>3.830176009870466</v>
      </c>
      <c r="AS24" s="1">
        <f t="shared" si="18"/>
        <v>4.5492012623812537</v>
      </c>
      <c r="AT24" s="1">
        <f t="shared" si="19"/>
        <v>5.2724365709493624</v>
      </c>
      <c r="AU24" s="1">
        <f t="shared" si="20"/>
        <v>5.9999056909305315</v>
      </c>
      <c r="AV24" s="1">
        <f t="shared" si="21"/>
        <v>6.7316333424700154</v>
      </c>
      <c r="AW24" s="1">
        <f t="shared" si="22"/>
        <v>7.4676444560208139</v>
      </c>
      <c r="AX24" s="9">
        <f t="shared" si="23"/>
        <v>8.20796414390521</v>
      </c>
    </row>
    <row r="25" spans="1:50" x14ac:dyDescent="0.2">
      <c r="D25" s="2" t="s">
        <v>39</v>
      </c>
      <c r="E25" s="1">
        <f t="shared" si="0"/>
        <v>7.9908675799086777E-6</v>
      </c>
      <c r="F25" s="8">
        <v>0</v>
      </c>
      <c r="G25" s="1" cm="1">
        <f t="array" ref="G25:Y25">TRANSPOSE(MMULT(_xlfn.ANCHORARRAY($X$90), TRANSPOSE(G26:Y26))+MMULT(_xlfn.ANCHORARRAY($D$90), TRANSPOSE(Y64:AQ64)))</f>
        <v>4.5969979110778414E-12</v>
      </c>
      <c r="H25" s="1">
        <v>7.6786444574414409E-11</v>
      </c>
      <c r="I25" s="1">
        <v>1.2526239632374375E-9</v>
      </c>
      <c r="J25" s="1">
        <v>1.9879018238958921E-8</v>
      </c>
      <c r="K25" s="1">
        <v>3.0319677991202735E-7</v>
      </c>
      <c r="L25" s="1">
        <v>4.3449878115598581E-6</v>
      </c>
      <c r="M25" s="1">
        <v>5.5652378464198046E-5</v>
      </c>
      <c r="N25" s="1">
        <v>5.461904807985506E-4</v>
      </c>
      <c r="O25" s="1">
        <v>3.1854342667900714E-3</v>
      </c>
      <c r="P25" s="3">
        <v>8.3111570486438212E-3</v>
      </c>
      <c r="Q25" s="1">
        <v>1.3888072223388188E-2</v>
      </c>
      <c r="R25" s="1">
        <v>1.9426186731136955E-2</v>
      </c>
      <c r="S25" s="1">
        <v>2.4871564571511663E-2</v>
      </c>
      <c r="T25" s="1">
        <v>3.0221073438427087E-2</v>
      </c>
      <c r="U25" s="1">
        <v>3.5475705906314638E-2</v>
      </c>
      <c r="V25" s="1">
        <v>4.0636733393363669E-2</v>
      </c>
      <c r="W25" s="1">
        <v>4.5705430803788187E-2</v>
      </c>
      <c r="X25" s="1">
        <v>5.0683058372056833E-2</v>
      </c>
      <c r="Y25" s="1">
        <v>5.5570860705357487E-2</v>
      </c>
      <c r="Z25" s="9">
        <f t="shared" si="1"/>
        <v>6.0370067070007027E-2</v>
      </c>
      <c r="AB25" s="2" t="s">
        <v>87</v>
      </c>
      <c r="AC25" s="1">
        <f t="shared" si="2"/>
        <v>1.7579908675799089E-2</v>
      </c>
      <c r="AD25" s="8">
        <f t="shared" si="3"/>
        <v>0</v>
      </c>
      <c r="AE25" s="1">
        <f t="shared" si="4"/>
        <v>5.007768792667821E-10</v>
      </c>
      <c r="AF25" s="1">
        <f t="shared" si="5"/>
        <v>8.4629996666387812E-9</v>
      </c>
      <c r="AG25" s="1">
        <f t="shared" si="6"/>
        <v>1.3967873146115461E-7</v>
      </c>
      <c r="AH25" s="1">
        <f t="shared" si="7"/>
        <v>2.2427160982224663E-6</v>
      </c>
      <c r="AI25" s="1">
        <f t="shared" si="8"/>
        <v>3.4607781057340755E-5</v>
      </c>
      <c r="AJ25" s="1">
        <f t="shared" si="9"/>
        <v>5.0177328387298649E-4</v>
      </c>
      <c r="AK25" s="1">
        <f t="shared" si="10"/>
        <v>6.502382354556106E-3</v>
      </c>
      <c r="AL25" s="1">
        <f t="shared" si="11"/>
        <v>6.4565824616691164E-2</v>
      </c>
      <c r="AM25" s="1">
        <f t="shared" si="12"/>
        <v>0.38097547973739182</v>
      </c>
      <c r="AN25" s="3">
        <f t="shared" si="13"/>
        <v>1.0056796624740014</v>
      </c>
      <c r="AO25" s="1">
        <f t="shared" si="14"/>
        <v>1.7002388945376006</v>
      </c>
      <c r="AP25" s="1">
        <f t="shared" si="15"/>
        <v>2.4061646453641865</v>
      </c>
      <c r="AQ25" s="1">
        <f t="shared" si="16"/>
        <v>3.1168125928254566</v>
      </c>
      <c r="AR25" s="1">
        <f t="shared" si="17"/>
        <v>3.8316627059925947</v>
      </c>
      <c r="AS25" s="1">
        <f t="shared" si="18"/>
        <v>4.5507002869929085</v>
      </c>
      <c r="AT25" s="1">
        <f t="shared" si="19"/>
        <v>5.2739472167293799</v>
      </c>
      <c r="AU25" s="1">
        <f t="shared" si="20"/>
        <v>6.0014279674094411</v>
      </c>
      <c r="AV25" s="1">
        <f t="shared" si="21"/>
        <v>6.7331673130891678</v>
      </c>
      <c r="AW25" s="1">
        <f t="shared" si="22"/>
        <v>7.4691901856115726</v>
      </c>
      <c r="AX25" s="9">
        <f t="shared" si="23"/>
        <v>8.2095216894761265</v>
      </c>
    </row>
    <row r="26" spans="1:50" x14ac:dyDescent="0.2">
      <c r="D26" s="2" t="s">
        <v>40</v>
      </c>
      <c r="E26" s="1">
        <f>E27+$B$14</f>
        <v>3.9954337899543389E-6</v>
      </c>
      <c r="F26" s="8">
        <v>0</v>
      </c>
      <c r="G26" s="1" cm="1">
        <f t="array" ref="G26:Y26">TRANSPOSE(MMULT(_xlfn.ANCHORARRAY($X$90), TRANSPOSE(G27:Y27))+MMULT(_xlfn.ANCHORARRAY($D$90), TRANSPOSE(Y65:AQ65)))</f>
        <v>3.1674931878946132E-13</v>
      </c>
      <c r="H26" s="1">
        <v>6.0352561806525226E-12</v>
      </c>
      <c r="I26" s="1">
        <v>1.1467739591034421E-10</v>
      </c>
      <c r="J26" s="1">
        <v>2.1789969487633297E-9</v>
      </c>
      <c r="K26" s="1">
        <v>4.1403343393861358E-8</v>
      </c>
      <c r="L26" s="1">
        <v>7.8670915306355583E-7</v>
      </c>
      <c r="M26" s="1">
        <v>1.4948340901513757E-5</v>
      </c>
      <c r="N26" s="1">
        <v>2.8403495095704961E-4</v>
      </c>
      <c r="O26" s="1">
        <v>2.8751456525346578E-3</v>
      </c>
      <c r="P26" s="3">
        <v>8.2713557868625935E-3</v>
      </c>
      <c r="Q26" s="1">
        <v>1.3895133523340344E-2</v>
      </c>
      <c r="R26" s="1">
        <v>1.9437290419906515E-2</v>
      </c>
      <c r="S26" s="1">
        <v>2.4882824667159985E-2</v>
      </c>
      <c r="T26" s="1">
        <v>3.0232201250415446E-2</v>
      </c>
      <c r="U26" s="1">
        <v>3.5486683525138139E-2</v>
      </c>
      <c r="V26" s="1">
        <v>4.0647561426906779E-2</v>
      </c>
      <c r="W26" s="1">
        <v>4.5716111038577527E-2</v>
      </c>
      <c r="X26" s="1">
        <v>5.0693592645808E-2</v>
      </c>
      <c r="Y26" s="1">
        <v>5.5581250821630221E-2</v>
      </c>
      <c r="Z26" s="9">
        <f t="shared" si="1"/>
        <v>6.038031472252503E-2</v>
      </c>
      <c r="AB26" s="2" t="s">
        <v>64</v>
      </c>
      <c r="AC26" s="1">
        <f t="shared" si="2"/>
        <v>1.8378995433789954E-2</v>
      </c>
      <c r="AD26" s="8">
        <f t="shared" si="3"/>
        <v>0</v>
      </c>
      <c r="AE26" s="1">
        <f t="shared" si="4"/>
        <v>3.4505977002055023E-11</v>
      </c>
      <c r="AF26" s="1">
        <f t="shared" si="5"/>
        <v>6.6518760830146439E-10</v>
      </c>
      <c r="AG26" s="1">
        <f t="shared" si="6"/>
        <v>1.2787806760440874E-8</v>
      </c>
      <c r="AH26" s="1">
        <f t="shared" si="7"/>
        <v>2.4583553891132852E-7</v>
      </c>
      <c r="AI26" s="1">
        <f t="shared" si="8"/>
        <v>4.7259950081299999E-6</v>
      </c>
      <c r="AJ26" s="1">
        <f t="shared" si="9"/>
        <v>9.0853539380319467E-5</v>
      </c>
      <c r="AK26" s="1">
        <f t="shared" si="10"/>
        <v>1.7465878833410036E-3</v>
      </c>
      <c r="AL26" s="1">
        <f t="shared" si="11"/>
        <v>3.3576779232162915E-2</v>
      </c>
      <c r="AM26" s="1">
        <f t="shared" si="12"/>
        <v>0.34387207048014612</v>
      </c>
      <c r="AN26" s="3">
        <f t="shared" si="13"/>
        <v>1.000883562382114</v>
      </c>
      <c r="AO26" s="1">
        <f t="shared" si="14"/>
        <v>1.7011373535089254</v>
      </c>
      <c r="AP26" s="1">
        <f t="shared" si="15"/>
        <v>2.407588065806562</v>
      </c>
      <c r="AQ26" s="1">
        <f t="shared" si="16"/>
        <v>3.1182859603188615</v>
      </c>
      <c r="AR26" s="1">
        <f t="shared" si="17"/>
        <v>3.83315015125569</v>
      </c>
      <c r="AS26" s="1">
        <f t="shared" si="18"/>
        <v>4.5521993969399812</v>
      </c>
      <c r="AT26" s="1">
        <f t="shared" si="19"/>
        <v>5.2754578964155732</v>
      </c>
      <c r="AU26" s="1">
        <f t="shared" si="20"/>
        <v>6.0029502742395646</v>
      </c>
      <c r="AV26" s="1">
        <f t="shared" si="21"/>
        <v>6.7347013142767276</v>
      </c>
      <c r="AW26" s="1">
        <f t="shared" si="22"/>
        <v>7.4707359471251458</v>
      </c>
      <c r="AX26" s="9">
        <f t="shared" si="23"/>
        <v>8.2110792656385012</v>
      </c>
    </row>
    <row r="27" spans="1:50" x14ac:dyDescent="0.2">
      <c r="D27" s="2" t="s">
        <v>41</v>
      </c>
      <c r="E27" s="1">
        <v>0</v>
      </c>
      <c r="F27" s="10">
        <v>0</v>
      </c>
      <c r="G27" s="11">
        <f>EXP(0.5*($B$16-1)*G28)*MAX(EXP(G28)-1,0)</f>
        <v>0</v>
      </c>
      <c r="H27" s="11">
        <f t="shared" ref="H27:S27" si="24">EXP(0.5*($B$16-1)*H28)*MAX(EXP(H28)-1,0)</f>
        <v>0</v>
      </c>
      <c r="I27" s="11">
        <f t="shared" si="24"/>
        <v>0</v>
      </c>
      <c r="J27" s="11">
        <f t="shared" si="24"/>
        <v>0</v>
      </c>
      <c r="K27" s="11">
        <f t="shared" si="24"/>
        <v>0</v>
      </c>
      <c r="L27" s="11">
        <f t="shared" si="24"/>
        <v>0</v>
      </c>
      <c r="M27" s="11">
        <f t="shared" si="24"/>
        <v>0</v>
      </c>
      <c r="N27" s="11">
        <f t="shared" si="24"/>
        <v>0</v>
      </c>
      <c r="O27" s="11">
        <f t="shared" si="24"/>
        <v>2.521831436541752E-3</v>
      </c>
      <c r="P27" s="24">
        <f t="shared" si="24"/>
        <v>8.2638888888888606E-3</v>
      </c>
      <c r="Q27" s="11">
        <f t="shared" si="24"/>
        <v>1.3905717205375867E-2</v>
      </c>
      <c r="R27" s="11">
        <f t="shared" si="24"/>
        <v>1.9448675099828356E-2</v>
      </c>
      <c r="S27" s="11">
        <f t="shared" si="24"/>
        <v>2.4894104379501521E-2</v>
      </c>
      <c r="T27" s="11">
        <f t="shared" ref="T27" si="25">EXP(0.5*($B$16-1)*T28)*MAX(EXP(T28)-1,0)</f>
        <v>3.0243330147914464E-2</v>
      </c>
      <c r="U27" s="11">
        <f t="shared" ref="U27" si="26">EXP(0.5*($B$16-1)*U28)*MAX(EXP(U28)-1,0)</f>
        <v>3.5497661005293224E-2</v>
      </c>
      <c r="V27" s="11">
        <f t="shared" ref="V27" si="27">EXP(0.5*($B$16-1)*V28)*MAX(EXP(V28)-1,0)</f>
        <v>4.0658389246647164E-2</v>
      </c>
      <c r="W27" s="11">
        <f t="shared" ref="W27" si="28">EXP(0.5*($B$16-1)*W28)*MAX(EXP(W28)-1,0)</f>
        <v>4.5726791057510575E-2</v>
      </c>
      <c r="X27" s="11">
        <f t="shared" ref="X27" si="29">EXP(0.5*($B$16-1)*X28)*MAX(EXP(X28)-1,0)</f>
        <v>5.0704126707373232E-2</v>
      </c>
      <c r="Y27" s="11">
        <f t="shared" ref="Y27" si="30">EXP(0.5*($B$16-1)*Y28)*MAX(EXP(Y28)-1,0)</f>
        <v>5.5591640740829625E-2</v>
      </c>
      <c r="Z27" s="12">
        <f t="shared" ref="Z27" si="31">EXP(0.5*($B$16-1)*Z28)*MAX(EXP(Z28)-1,0)</f>
        <v>6.0390562166470346E-2</v>
      </c>
      <c r="AB27" s="2" t="s">
        <v>63</v>
      </c>
      <c r="AC27" s="1">
        <f t="shared" si="2"/>
        <v>1.9178082191780823E-2</v>
      </c>
      <c r="AD27" s="10">
        <f t="shared" si="3"/>
        <v>0</v>
      </c>
      <c r="AE27" s="11">
        <f t="shared" si="4"/>
        <v>0</v>
      </c>
      <c r="AF27" s="11">
        <f t="shared" si="5"/>
        <v>0</v>
      </c>
      <c r="AG27" s="11">
        <f t="shared" si="6"/>
        <v>0</v>
      </c>
      <c r="AH27" s="11">
        <f t="shared" si="7"/>
        <v>0</v>
      </c>
      <c r="AI27" s="11">
        <f t="shared" si="8"/>
        <v>0</v>
      </c>
      <c r="AJ27" s="11">
        <f t="shared" si="9"/>
        <v>0</v>
      </c>
      <c r="AK27" s="11">
        <f t="shared" si="10"/>
        <v>0</v>
      </c>
      <c r="AL27" s="11">
        <f t="shared" si="11"/>
        <v>0</v>
      </c>
      <c r="AM27" s="11">
        <f t="shared" si="12"/>
        <v>0.30162114425167319</v>
      </c>
      <c r="AN27" s="24">
        <f t="shared" si="13"/>
        <v>0.99999999999999656</v>
      </c>
      <c r="AO27" s="11">
        <f t="shared" si="14"/>
        <v>1.7024670904384913</v>
      </c>
      <c r="AP27" s="11">
        <f t="shared" si="15"/>
        <v>2.4090463476532196</v>
      </c>
      <c r="AQ27" s="11">
        <f t="shared" si="16"/>
        <v>3.1197618438261197</v>
      </c>
      <c r="AR27" s="11">
        <f t="shared" si="17"/>
        <v>3.8346377920550534</v>
      </c>
      <c r="AS27" s="11">
        <f t="shared" si="18"/>
        <v>4.5536985471788221</v>
      </c>
      <c r="AT27" s="11">
        <f t="shared" si="19"/>
        <v>5.2769686066067534</v>
      </c>
      <c r="AU27" s="11">
        <f t="shared" si="20"/>
        <v>6.0044726111534121</v>
      </c>
      <c r="AV27" s="11">
        <f t="shared" si="21"/>
        <v>6.7362353458780184</v>
      </c>
      <c r="AW27" s="11">
        <f t="shared" si="22"/>
        <v>7.4722817409289286</v>
      </c>
      <c r="AX27" s="12">
        <f t="shared" si="23"/>
        <v>8.2126368723928138</v>
      </c>
    </row>
    <row r="28" spans="1:50" x14ac:dyDescent="0.2">
      <c r="D28" s="2"/>
      <c r="E28" s="48" t="s">
        <v>12</v>
      </c>
      <c r="F28" s="1">
        <f>B12</f>
        <v>-0.05</v>
      </c>
      <c r="G28" s="1">
        <f>F28+$B$13</f>
        <v>-4.4163175032948344E-2</v>
      </c>
      <c r="H28" s="1">
        <f t="shared" ref="H28:Z28" si="32">G28+$B$13</f>
        <v>-3.8326350065896686E-2</v>
      </c>
      <c r="I28" s="1">
        <f t="shared" si="32"/>
        <v>-3.2489525098845028E-2</v>
      </c>
      <c r="J28" s="1">
        <f t="shared" si="32"/>
        <v>-2.6652700131793369E-2</v>
      </c>
      <c r="K28" s="1">
        <f t="shared" si="32"/>
        <v>-2.0815875164741711E-2</v>
      </c>
      <c r="L28" s="1">
        <f t="shared" si="32"/>
        <v>-1.4979050197690053E-2</v>
      </c>
      <c r="M28" s="1">
        <f t="shared" si="32"/>
        <v>-9.1422252306383942E-3</v>
      </c>
      <c r="N28" s="1">
        <f t="shared" si="32"/>
        <v>-3.3054002635867358E-3</v>
      </c>
      <c r="O28" s="1">
        <f t="shared" si="32"/>
        <v>2.5314247034649226E-3</v>
      </c>
      <c r="P28" s="3">
        <f t="shared" si="32"/>
        <v>8.368249670516581E-3</v>
      </c>
      <c r="Q28" s="1">
        <f t="shared" si="32"/>
        <v>1.4205074637568239E-2</v>
      </c>
      <c r="R28" s="1">
        <f t="shared" si="32"/>
        <v>2.0041899604619898E-2</v>
      </c>
      <c r="S28" s="1">
        <f t="shared" si="32"/>
        <v>2.5878724571671556E-2</v>
      </c>
      <c r="T28" s="1">
        <f t="shared" si="32"/>
        <v>3.1715549538723214E-2</v>
      </c>
      <c r="U28" s="1">
        <f t="shared" si="32"/>
        <v>3.7552374505774873E-2</v>
      </c>
      <c r="V28" s="1">
        <f t="shared" si="32"/>
        <v>4.3389199472826531E-2</v>
      </c>
      <c r="W28" s="1">
        <f t="shared" si="32"/>
        <v>4.922602443987819E-2</v>
      </c>
      <c r="X28" s="1">
        <f t="shared" si="32"/>
        <v>5.5062849406929848E-2</v>
      </c>
      <c r="Y28" s="1">
        <f t="shared" si="32"/>
        <v>6.0899674373981506E-2</v>
      </c>
      <c r="Z28" s="1">
        <f t="shared" si="32"/>
        <v>6.6736499341033165E-2</v>
      </c>
      <c r="AB28" s="2"/>
      <c r="AC28" s="48" t="s">
        <v>124</v>
      </c>
      <c r="AD28" s="1">
        <f t="shared" ref="AD28:AX28" si="33">$B$3*EXP(F28)</f>
        <v>113.19630151558496</v>
      </c>
      <c r="AE28" s="1">
        <f t="shared" si="33"/>
        <v>113.8589404870354</v>
      </c>
      <c r="AF28" s="1">
        <f t="shared" si="33"/>
        <v>114.52545847573819</v>
      </c>
      <c r="AG28" s="1">
        <f t="shared" si="33"/>
        <v>115.19587818904307</v>
      </c>
      <c r="AH28" s="1">
        <f t="shared" si="33"/>
        <v>115.87022246722611</v>
      </c>
      <c r="AI28" s="1">
        <f t="shared" si="33"/>
        <v>116.5485142842679</v>
      </c>
      <c r="AJ28" s="1">
        <f t="shared" si="33"/>
        <v>117.23077674863622</v>
      </c>
      <c r="AK28" s="1">
        <f t="shared" si="33"/>
        <v>117.91703310407335</v>
      </c>
      <c r="AL28" s="1">
        <f t="shared" si="33"/>
        <v>118.607306730388</v>
      </c>
      <c r="AM28" s="1">
        <f t="shared" si="33"/>
        <v>119.30162114425167</v>
      </c>
      <c r="AN28" s="3">
        <f t="shared" si="33"/>
        <v>120</v>
      </c>
      <c r="AO28" s="1">
        <f t="shared" si="33"/>
        <v>120.70246709043849</v>
      </c>
      <c r="AP28" s="1">
        <f t="shared" si="33"/>
        <v>121.40904634765322</v>
      </c>
      <c r="AQ28" s="1">
        <f t="shared" si="33"/>
        <v>122.11976184382613</v>
      </c>
      <c r="AR28" s="1">
        <f t="shared" si="33"/>
        <v>122.83463779205505</v>
      </c>
      <c r="AS28" s="1">
        <f t="shared" si="33"/>
        <v>123.55369854717883</v>
      </c>
      <c r="AT28" s="1">
        <f t="shared" si="33"/>
        <v>124.27696860660676</v>
      </c>
      <c r="AU28" s="1">
        <f t="shared" si="33"/>
        <v>125.00447261115342</v>
      </c>
      <c r="AV28" s="1">
        <f t="shared" si="33"/>
        <v>125.73623534587801</v>
      </c>
      <c r="AW28" s="1">
        <f t="shared" si="33"/>
        <v>126.47228174092893</v>
      </c>
      <c r="AX28" s="1">
        <f t="shared" si="33"/>
        <v>127.21263687239281</v>
      </c>
    </row>
    <row r="29" spans="1:50" x14ac:dyDescent="0.2">
      <c r="D29" s="1"/>
      <c r="E29" s="48"/>
      <c r="F29" s="2" t="s">
        <v>15</v>
      </c>
      <c r="G29" s="2" t="s">
        <v>42</v>
      </c>
      <c r="H29" s="2" t="s">
        <v>43</v>
      </c>
      <c r="I29" s="2" t="s">
        <v>44</v>
      </c>
      <c r="J29" s="2" t="s">
        <v>45</v>
      </c>
      <c r="K29" s="2" t="s">
        <v>46</v>
      </c>
      <c r="L29" s="2" t="s">
        <v>47</v>
      </c>
      <c r="M29" s="2" t="s">
        <v>48</v>
      </c>
      <c r="N29" s="2" t="s">
        <v>49</v>
      </c>
      <c r="O29" s="2" t="s">
        <v>50</v>
      </c>
      <c r="P29" s="4" t="s">
        <v>51</v>
      </c>
      <c r="Q29" s="2" t="s">
        <v>52</v>
      </c>
      <c r="R29" s="2" t="s">
        <v>53</v>
      </c>
      <c r="S29" s="2" t="s">
        <v>54</v>
      </c>
      <c r="T29" s="2" t="s">
        <v>55</v>
      </c>
      <c r="U29" s="2" t="s">
        <v>56</v>
      </c>
      <c r="V29" s="2" t="s">
        <v>57</v>
      </c>
      <c r="W29" s="2" t="s">
        <v>58</v>
      </c>
      <c r="X29" s="2" t="s">
        <v>59</v>
      </c>
      <c r="Y29" s="2" t="s">
        <v>60</v>
      </c>
      <c r="Z29" s="2" t="s">
        <v>61</v>
      </c>
      <c r="AB29" s="1"/>
      <c r="AC29" s="48"/>
      <c r="AD29" s="2" t="s">
        <v>125</v>
      </c>
      <c r="AE29" s="2" t="s">
        <v>126</v>
      </c>
      <c r="AF29" s="2" t="s">
        <v>127</v>
      </c>
      <c r="AG29" s="2" t="s">
        <v>128</v>
      </c>
      <c r="AH29" s="2" t="s">
        <v>129</v>
      </c>
      <c r="AI29" s="2" t="s">
        <v>130</v>
      </c>
      <c r="AJ29" s="2" t="s">
        <v>131</v>
      </c>
      <c r="AK29" s="2" t="s">
        <v>132</v>
      </c>
      <c r="AL29" s="2" t="s">
        <v>133</v>
      </c>
      <c r="AM29" s="2" t="s">
        <v>134</v>
      </c>
      <c r="AN29" s="4" t="s">
        <v>135</v>
      </c>
      <c r="AO29" s="2" t="s">
        <v>136</v>
      </c>
      <c r="AP29" s="2" t="s">
        <v>137</v>
      </c>
      <c r="AQ29" s="2" t="s">
        <v>138</v>
      </c>
      <c r="AR29" s="2" t="s">
        <v>139</v>
      </c>
      <c r="AS29" s="2" t="s">
        <v>140</v>
      </c>
      <c r="AT29" s="2" t="s">
        <v>141</v>
      </c>
      <c r="AU29" s="2" t="s">
        <v>142</v>
      </c>
      <c r="AV29" s="2" t="s">
        <v>143</v>
      </c>
      <c r="AW29" s="2" t="s">
        <v>144</v>
      </c>
      <c r="AX29" s="2" t="s">
        <v>145</v>
      </c>
    </row>
    <row r="31" spans="1:50" x14ac:dyDescent="0.2">
      <c r="A31" s="30" t="s">
        <v>8</v>
      </c>
      <c r="B31" s="31" t="s">
        <v>147</v>
      </c>
    </row>
    <row r="32" spans="1:50" x14ac:dyDescent="0.2">
      <c r="A32" s="40">
        <v>-1</v>
      </c>
      <c r="B32" s="9">
        <v>6.6005078832205299E-3</v>
      </c>
    </row>
    <row r="33" spans="1:43" x14ac:dyDescent="0.2">
      <c r="A33" s="40">
        <f>A32+0.02</f>
        <v>-0.98</v>
      </c>
      <c r="B33" s="9">
        <v>6.5279359111989343E-3</v>
      </c>
    </row>
    <row r="34" spans="1:43" x14ac:dyDescent="0.2">
      <c r="A34" s="40">
        <f t="shared" ref="A34:A97" si="34">A33+0.02</f>
        <v>-0.96</v>
      </c>
      <c r="B34" s="9">
        <v>6.4554212272598388E-3</v>
      </c>
    </row>
    <row r="35" spans="1:43" x14ac:dyDescent="0.2">
      <c r="A35" s="40">
        <f t="shared" si="34"/>
        <v>-0.94</v>
      </c>
      <c r="B35" s="9">
        <v>6.3829642344994664E-3</v>
      </c>
    </row>
    <row r="36" spans="1:43" x14ac:dyDescent="0.2">
      <c r="A36" s="40">
        <f t="shared" si="34"/>
        <v>-0.91999999999999993</v>
      </c>
      <c r="B36" s="9">
        <v>6.3105653391142269E-3</v>
      </c>
    </row>
    <row r="37" spans="1:43" x14ac:dyDescent="0.2">
      <c r="A37" s="40">
        <f t="shared" si="34"/>
        <v>-0.89999999999999991</v>
      </c>
      <c r="B37" s="9">
        <v>6.2382249503967202E-3</v>
      </c>
    </row>
    <row r="38" spans="1:43" x14ac:dyDescent="0.2">
      <c r="A38" s="40">
        <f t="shared" si="34"/>
        <v>-0.87999999999999989</v>
      </c>
      <c r="B38" s="9">
        <v>6.1659434807517233E-3</v>
      </c>
    </row>
    <row r="39" spans="1:43" x14ac:dyDescent="0.2">
      <c r="A39" s="40">
        <f t="shared" si="34"/>
        <v>-0.85999999999999988</v>
      </c>
      <c r="B39" s="9">
        <v>6.0937213457630257E-3</v>
      </c>
    </row>
    <row r="40" spans="1:43" x14ac:dyDescent="0.2">
      <c r="A40" s="40">
        <f t="shared" si="34"/>
        <v>-0.83999999999999986</v>
      </c>
      <c r="B40" s="9">
        <v>6.0215589641725575E-3</v>
      </c>
    </row>
    <row r="41" spans="1:43" x14ac:dyDescent="0.2">
      <c r="A41" s="40">
        <f t="shared" si="34"/>
        <v>-0.81999999999999984</v>
      </c>
      <c r="B41" s="9">
        <v>5.9494567579185809E-3</v>
      </c>
      <c r="X41" s="4" t="s">
        <v>94</v>
      </c>
    </row>
    <row r="42" spans="1:43" x14ac:dyDescent="0.2">
      <c r="A42" s="40">
        <f t="shared" si="34"/>
        <v>-0.79999999999999982</v>
      </c>
      <c r="B42" s="9">
        <v>5.8774151522007489E-3</v>
      </c>
      <c r="X42" s="1" t="s">
        <v>95</v>
      </c>
      <c r="Y42" s="5">
        <f t="shared" ref="Y42:Y65" si="35">$B$15*$B$11*F3+$B$15*(1-$B$11)*F4</f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7">
        <f t="shared" ref="AQ42:AQ65" si="36">$B$15*$B$11*Z3+$B$15*(1-$B$11)*Z4</f>
        <v>7.0541388921543276E-3</v>
      </c>
    </row>
    <row r="43" spans="1:43" x14ac:dyDescent="0.2">
      <c r="A43" s="40">
        <f t="shared" si="34"/>
        <v>-0.7799999999999998</v>
      </c>
      <c r="B43" s="9">
        <v>5.8054345754481318E-3</v>
      </c>
      <c r="X43" s="1" t="s">
        <v>96</v>
      </c>
      <c r="Y43" s="8">
        <f t="shared" si="35"/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9">
        <f t="shared" si="36"/>
        <v>7.0553412258760936E-3</v>
      </c>
    </row>
    <row r="44" spans="1:43" x14ac:dyDescent="0.2">
      <c r="A44" s="40">
        <f t="shared" si="34"/>
        <v>-0.75999999999999979</v>
      </c>
      <c r="B44" s="9">
        <v>5.7335154593936011E-3</v>
      </c>
      <c r="X44" s="1" t="s">
        <v>97</v>
      </c>
      <c r="Y44" s="8">
        <f t="shared" si="35"/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9">
        <f t="shared" si="36"/>
        <v>7.0565435351283637E-3</v>
      </c>
    </row>
    <row r="45" spans="1:43" x14ac:dyDescent="0.2">
      <c r="A45" s="40">
        <f t="shared" si="34"/>
        <v>-0.73999999999999977</v>
      </c>
      <c r="B45" s="9">
        <v>5.6616582390642822E-3</v>
      </c>
      <c r="X45" s="1" t="s">
        <v>98</v>
      </c>
      <c r="Y45" s="8">
        <f t="shared" si="35"/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9">
        <f t="shared" si="36"/>
        <v>7.0577458199115543E-3</v>
      </c>
    </row>
    <row r="46" spans="1:43" x14ac:dyDescent="0.2">
      <c r="A46" s="40">
        <f t="shared" si="34"/>
        <v>-0.71999999999999975</v>
      </c>
      <c r="B46" s="9">
        <v>5.5898633528370656E-3</v>
      </c>
      <c r="X46" s="1" t="s">
        <v>99</v>
      </c>
      <c r="Y46" s="8">
        <f t="shared" si="35"/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9">
        <f t="shared" si="36"/>
        <v>7.0589480802260886E-3</v>
      </c>
    </row>
    <row r="47" spans="1:43" x14ac:dyDescent="0.2">
      <c r="A47" s="40">
        <f t="shared" si="34"/>
        <v>-0.69999999999999973</v>
      </c>
      <c r="B47" s="9">
        <v>5.5181312424243956E-3</v>
      </c>
      <c r="X47" s="1" t="s">
        <v>100</v>
      </c>
      <c r="Y47" s="8">
        <f t="shared" si="35"/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9">
        <f t="shared" si="36"/>
        <v>7.0601503160723691E-3</v>
      </c>
    </row>
    <row r="48" spans="1:43" x14ac:dyDescent="0.2">
      <c r="A48" s="40">
        <f t="shared" si="34"/>
        <v>-0.67999999999999972</v>
      </c>
      <c r="B48" s="9">
        <v>5.4464623529595357E-3</v>
      </c>
      <c r="X48" s="1" t="s">
        <v>101</v>
      </c>
      <c r="Y48" s="8">
        <f t="shared" si="35"/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9">
        <f t="shared" si="36"/>
        <v>7.0613525274508E-3</v>
      </c>
    </row>
    <row r="49" spans="1:43" x14ac:dyDescent="0.2">
      <c r="A49" s="40">
        <f t="shared" si="34"/>
        <v>-0.6599999999999997</v>
      </c>
      <c r="B49" s="9">
        <v>5.3748571329617079E-3</v>
      </c>
      <c r="X49" s="1" t="s">
        <v>102</v>
      </c>
      <c r="Y49" s="8">
        <f t="shared" si="35"/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9">
        <f t="shared" si="36"/>
        <v>7.0625547143617993E-3</v>
      </c>
    </row>
    <row r="50" spans="1:43" x14ac:dyDescent="0.2">
      <c r="A50" s="40">
        <f t="shared" si="34"/>
        <v>-0.63999999999999968</v>
      </c>
      <c r="B50" s="9">
        <v>5.3033160344024832E-3</v>
      </c>
      <c r="X50" s="1" t="s">
        <v>103</v>
      </c>
      <c r="Y50" s="8">
        <f t="shared" si="35"/>
        <v>0</v>
      </c>
      <c r="Z50" s="1">
        <v>0</v>
      </c>
      <c r="AA50" s="1">
        <v>0</v>
      </c>
      <c r="AB50" s="1">
        <v>0</v>
      </c>
      <c r="AC50" s="1">
        <v>0</v>
      </c>
      <c r="AD50" s="1">
        <v>0</v>
      </c>
      <c r="AE50" s="1">
        <v>0</v>
      </c>
      <c r="AF50" s="1">
        <v>0</v>
      </c>
      <c r="AG50" s="1">
        <v>0</v>
      </c>
      <c r="AH50" s="1">
        <v>0</v>
      </c>
      <c r="AI50" s="1">
        <v>0</v>
      </c>
      <c r="AJ50" s="1">
        <v>0</v>
      </c>
      <c r="AK50" s="1">
        <v>0</v>
      </c>
      <c r="AL50" s="1">
        <v>0</v>
      </c>
      <c r="AM50" s="1">
        <v>0</v>
      </c>
      <c r="AN50" s="1">
        <v>0</v>
      </c>
      <c r="AO50" s="1">
        <v>0</v>
      </c>
      <c r="AP50" s="1">
        <v>0</v>
      </c>
      <c r="AQ50" s="9">
        <f t="shared" si="36"/>
        <v>7.0637568768057764E-3</v>
      </c>
    </row>
    <row r="51" spans="1:43" x14ac:dyDescent="0.2">
      <c r="A51" s="40">
        <f t="shared" si="34"/>
        <v>-0.61999999999999966</v>
      </c>
      <c r="B51" s="9">
        <v>5.2318395127206596E-3</v>
      </c>
      <c r="X51" s="1" t="s">
        <v>104</v>
      </c>
      <c r="Y51" s="8">
        <f t="shared" si="35"/>
        <v>0</v>
      </c>
      <c r="Z51" s="1">
        <v>0</v>
      </c>
      <c r="AA51" s="1">
        <v>0</v>
      </c>
      <c r="AB51" s="1">
        <v>0</v>
      </c>
      <c r="AC51" s="1">
        <v>0</v>
      </c>
      <c r="AD51" s="1">
        <v>0</v>
      </c>
      <c r="AE51" s="1">
        <v>0</v>
      </c>
      <c r="AF51" s="1">
        <v>0</v>
      </c>
      <c r="AG51" s="1">
        <v>0</v>
      </c>
      <c r="AH51" s="1">
        <v>0</v>
      </c>
      <c r="AI51" s="1">
        <v>0</v>
      </c>
      <c r="AJ51" s="1">
        <v>0</v>
      </c>
      <c r="AK51" s="1">
        <v>0</v>
      </c>
      <c r="AL51" s="1">
        <v>0</v>
      </c>
      <c r="AM51" s="1">
        <v>0</v>
      </c>
      <c r="AN51" s="1">
        <v>0</v>
      </c>
      <c r="AO51" s="1">
        <v>0</v>
      </c>
      <c r="AP51" s="1">
        <v>0</v>
      </c>
      <c r="AQ51" s="9">
        <f t="shared" si="36"/>
        <v>7.0649590147831461E-3</v>
      </c>
    </row>
    <row r="52" spans="1:43" x14ac:dyDescent="0.2">
      <c r="A52" s="40">
        <f t="shared" si="34"/>
        <v>-0.59999999999999964</v>
      </c>
      <c r="B52" s="9">
        <v>5.160428026820707E-3</v>
      </c>
      <c r="X52" s="1" t="s">
        <v>105</v>
      </c>
      <c r="Y52" s="8">
        <f t="shared" si="35"/>
        <v>0</v>
      </c>
      <c r="Z52" s="1">
        <v>0</v>
      </c>
      <c r="AA52" s="1">
        <v>0</v>
      </c>
      <c r="AB52" s="1">
        <v>0</v>
      </c>
      <c r="AC52" s="1">
        <v>0</v>
      </c>
      <c r="AD52" s="1">
        <v>0</v>
      </c>
      <c r="AE52" s="1">
        <v>0</v>
      </c>
      <c r="AF52" s="1">
        <v>0</v>
      </c>
      <c r="AG52" s="1">
        <v>0</v>
      </c>
      <c r="AH52" s="1">
        <v>0</v>
      </c>
      <c r="AI52" s="1">
        <v>0</v>
      </c>
      <c r="AJ52" s="1">
        <v>0</v>
      </c>
      <c r="AK52" s="1">
        <v>0</v>
      </c>
      <c r="AL52" s="1">
        <v>0</v>
      </c>
      <c r="AM52" s="1">
        <v>0</v>
      </c>
      <c r="AN52" s="1">
        <v>0</v>
      </c>
      <c r="AO52" s="1">
        <v>0</v>
      </c>
      <c r="AP52" s="1">
        <v>0</v>
      </c>
      <c r="AQ52" s="9">
        <f t="shared" si="36"/>
        <v>7.0661611282943279E-3</v>
      </c>
    </row>
    <row r="53" spans="1:43" x14ac:dyDescent="0.2">
      <c r="A53" s="40">
        <f t="shared" si="34"/>
        <v>-0.57999999999999963</v>
      </c>
      <c r="B53" s="9">
        <v>5.0890820391551461E-3</v>
      </c>
      <c r="X53" s="1" t="s">
        <v>106</v>
      </c>
      <c r="Y53" s="8">
        <f t="shared" si="35"/>
        <v>0</v>
      </c>
      <c r="Z53" s="1">
        <v>0</v>
      </c>
      <c r="AA53" s="1">
        <v>0</v>
      </c>
      <c r="AB53" s="1">
        <v>0</v>
      </c>
      <c r="AC53" s="1">
        <v>0</v>
      </c>
      <c r="AD53" s="1">
        <v>0</v>
      </c>
      <c r="AE53" s="1">
        <v>0</v>
      </c>
      <c r="AF53" s="1">
        <v>0</v>
      </c>
      <c r="AG53" s="1">
        <v>0</v>
      </c>
      <c r="AH53" s="1">
        <v>0</v>
      </c>
      <c r="AI53" s="1">
        <v>0</v>
      </c>
      <c r="AJ53" s="1">
        <v>0</v>
      </c>
      <c r="AK53" s="1">
        <v>0</v>
      </c>
      <c r="AL53" s="1">
        <v>0</v>
      </c>
      <c r="AM53" s="1">
        <v>0</v>
      </c>
      <c r="AN53" s="1">
        <v>0</v>
      </c>
      <c r="AO53" s="1">
        <v>0</v>
      </c>
      <c r="AP53" s="1">
        <v>0</v>
      </c>
      <c r="AQ53" s="9">
        <f t="shared" si="36"/>
        <v>7.0673632173397245E-3</v>
      </c>
    </row>
    <row r="54" spans="1:43" x14ac:dyDescent="0.2">
      <c r="A54" s="40">
        <f t="shared" si="34"/>
        <v>-0.55999999999999961</v>
      </c>
      <c r="B54" s="9">
        <v>5.0178020156910197E-3</v>
      </c>
      <c r="X54" s="1" t="s">
        <v>107</v>
      </c>
      <c r="Y54" s="8">
        <f t="shared" si="35"/>
        <v>0</v>
      </c>
      <c r="Z54" s="1">
        <v>0</v>
      </c>
      <c r="AA54" s="1">
        <v>0</v>
      </c>
      <c r="AB54" s="1">
        <v>0</v>
      </c>
      <c r="AC54" s="1">
        <v>0</v>
      </c>
      <c r="AD54" s="1">
        <v>0</v>
      </c>
      <c r="AE54" s="1">
        <v>0</v>
      </c>
      <c r="AF54" s="1">
        <v>0</v>
      </c>
      <c r="AG54" s="1">
        <v>0</v>
      </c>
      <c r="AH54" s="1">
        <v>0</v>
      </c>
      <c r="AI54" s="1">
        <v>0</v>
      </c>
      <c r="AJ54" s="1">
        <v>0</v>
      </c>
      <c r="AK54" s="1">
        <v>0</v>
      </c>
      <c r="AL54" s="1">
        <v>0</v>
      </c>
      <c r="AM54" s="1">
        <v>0</v>
      </c>
      <c r="AN54" s="1">
        <v>0</v>
      </c>
      <c r="AO54" s="1">
        <v>0</v>
      </c>
      <c r="AP54" s="1">
        <v>0</v>
      </c>
      <c r="AQ54" s="9">
        <f t="shared" si="36"/>
        <v>7.0685652819197451E-3</v>
      </c>
    </row>
    <row r="55" spans="1:43" x14ac:dyDescent="0.2">
      <c r="A55" s="40">
        <f t="shared" si="34"/>
        <v>-0.53999999999999959</v>
      </c>
      <c r="B55" s="9">
        <v>4.9465884259427551E-3</v>
      </c>
      <c r="X55" s="1" t="s">
        <v>108</v>
      </c>
      <c r="Y55" s="8">
        <f t="shared" si="35"/>
        <v>0</v>
      </c>
      <c r="Z55" s="1">
        <v>0</v>
      </c>
      <c r="AA55" s="1">
        <v>0</v>
      </c>
      <c r="AB55" s="1">
        <v>0</v>
      </c>
      <c r="AC55" s="1">
        <v>0</v>
      </c>
      <c r="AD55" s="1">
        <v>0</v>
      </c>
      <c r="AE55" s="1">
        <v>0</v>
      </c>
      <c r="AF55" s="1">
        <v>0</v>
      </c>
      <c r="AG55" s="1">
        <v>0</v>
      </c>
      <c r="AH55" s="1">
        <v>0</v>
      </c>
      <c r="AI55" s="1">
        <v>0</v>
      </c>
      <c r="AJ55" s="1">
        <v>0</v>
      </c>
      <c r="AK55" s="1">
        <v>0</v>
      </c>
      <c r="AL55" s="1">
        <v>0</v>
      </c>
      <c r="AM55" s="1">
        <v>0</v>
      </c>
      <c r="AN55" s="1">
        <v>0</v>
      </c>
      <c r="AO55" s="1">
        <v>0</v>
      </c>
      <c r="AP55" s="1">
        <v>0</v>
      </c>
      <c r="AQ55" s="9">
        <f t="shared" si="36"/>
        <v>7.0697673220348131E-3</v>
      </c>
    </row>
    <row r="56" spans="1:43" x14ac:dyDescent="0.2">
      <c r="A56" s="40">
        <f t="shared" si="34"/>
        <v>-0.51999999999999957</v>
      </c>
      <c r="B56" s="9">
        <v>4.8754417430716401E-3</v>
      </c>
      <c r="X56" s="1" t="s">
        <v>109</v>
      </c>
      <c r="Y56" s="8">
        <f t="shared" si="35"/>
        <v>0</v>
      </c>
      <c r="Z56" s="1">
        <v>0</v>
      </c>
      <c r="AA56" s="1">
        <v>0</v>
      </c>
      <c r="AB56" s="1">
        <v>0</v>
      </c>
      <c r="AC56" s="1">
        <v>0</v>
      </c>
      <c r="AD56" s="1">
        <v>0</v>
      </c>
      <c r="AE56" s="1">
        <v>0</v>
      </c>
      <c r="AF56" s="1">
        <v>0</v>
      </c>
      <c r="AG56" s="1">
        <v>0</v>
      </c>
      <c r="AH56" s="1">
        <v>0</v>
      </c>
      <c r="AI56" s="1">
        <v>0</v>
      </c>
      <c r="AJ56" s="1">
        <v>0</v>
      </c>
      <c r="AK56" s="1">
        <v>0</v>
      </c>
      <c r="AL56" s="1">
        <v>0</v>
      </c>
      <c r="AM56" s="1">
        <v>0</v>
      </c>
      <c r="AN56" s="1">
        <v>0</v>
      </c>
      <c r="AO56" s="1">
        <v>0</v>
      </c>
      <c r="AP56" s="1">
        <v>0</v>
      </c>
      <c r="AQ56" s="9">
        <f t="shared" si="36"/>
        <v>7.0709693376853327E-3</v>
      </c>
    </row>
    <row r="57" spans="1:43" x14ac:dyDescent="0.2">
      <c r="A57" s="40">
        <f t="shared" si="34"/>
        <v>-0.49999999999999956</v>
      </c>
      <c r="B57" s="9">
        <v>4.8043624437854593E-3</v>
      </c>
      <c r="X57" s="1" t="s">
        <v>110</v>
      </c>
      <c r="Y57" s="8">
        <f t="shared" si="35"/>
        <v>0</v>
      </c>
      <c r="Z57" s="1">
        <v>0</v>
      </c>
      <c r="AA57" s="1">
        <v>0</v>
      </c>
      <c r="AB57" s="1">
        <v>0</v>
      </c>
      <c r="AC57" s="1">
        <v>0</v>
      </c>
      <c r="AD57" s="1">
        <v>0</v>
      </c>
      <c r="AE57" s="1">
        <v>0</v>
      </c>
      <c r="AF57" s="1">
        <v>0</v>
      </c>
      <c r="AG57" s="1">
        <v>0</v>
      </c>
      <c r="AH57" s="1">
        <v>0</v>
      </c>
      <c r="AI57" s="1">
        <v>0</v>
      </c>
      <c r="AJ57" s="1">
        <v>0</v>
      </c>
      <c r="AK57" s="1">
        <v>0</v>
      </c>
      <c r="AL57" s="1">
        <v>0</v>
      </c>
      <c r="AM57" s="1">
        <v>0</v>
      </c>
      <c r="AN57" s="1">
        <v>0</v>
      </c>
      <c r="AO57" s="1">
        <v>0</v>
      </c>
      <c r="AP57" s="1">
        <v>0</v>
      </c>
      <c r="AQ57" s="9">
        <f t="shared" si="36"/>
        <v>7.072171328871721E-3</v>
      </c>
    </row>
    <row r="58" spans="1:43" x14ac:dyDescent="0.2">
      <c r="A58" s="40">
        <f t="shared" si="34"/>
        <v>-0.47999999999999954</v>
      </c>
      <c r="B58" s="9">
        <v>4.733351008481046E-3</v>
      </c>
      <c r="X58" s="1" t="s">
        <v>111</v>
      </c>
      <c r="Y58" s="8">
        <f t="shared" si="35"/>
        <v>0</v>
      </c>
      <c r="Z58" s="1">
        <v>0</v>
      </c>
      <c r="AA58" s="1">
        <v>0</v>
      </c>
      <c r="AB58" s="1">
        <v>0</v>
      </c>
      <c r="AC58" s="1">
        <v>0</v>
      </c>
      <c r="AD58" s="1">
        <v>0</v>
      </c>
      <c r="AE58" s="1">
        <v>0</v>
      </c>
      <c r="AF58" s="1">
        <v>0</v>
      </c>
      <c r="AG58" s="1">
        <v>0</v>
      </c>
      <c r="AH58" s="1">
        <v>0</v>
      </c>
      <c r="AI58" s="1">
        <v>0</v>
      </c>
      <c r="AJ58" s="1">
        <v>0</v>
      </c>
      <c r="AK58" s="1">
        <v>0</v>
      </c>
      <c r="AL58" s="1">
        <v>0</v>
      </c>
      <c r="AM58" s="1">
        <v>0</v>
      </c>
      <c r="AN58" s="1">
        <v>0</v>
      </c>
      <c r="AO58" s="1">
        <v>0</v>
      </c>
      <c r="AP58" s="1">
        <v>0</v>
      </c>
      <c r="AQ58" s="9">
        <f t="shared" si="36"/>
        <v>7.0733732955943936E-3</v>
      </c>
    </row>
    <row r="59" spans="1:43" x14ac:dyDescent="0.2">
      <c r="A59" s="40">
        <f>A58+0.02</f>
        <v>-0.45999999999999952</v>
      </c>
      <c r="B59" s="9">
        <v>4.6624079211603497E-3</v>
      </c>
      <c r="X59" s="1" t="s">
        <v>112</v>
      </c>
      <c r="Y59" s="8">
        <f t="shared" si="35"/>
        <v>0</v>
      </c>
      <c r="Z59" s="1">
        <v>0</v>
      </c>
      <c r="AA59" s="1">
        <v>0</v>
      </c>
      <c r="AB59" s="1">
        <v>0</v>
      </c>
      <c r="AC59" s="1">
        <v>0</v>
      </c>
      <c r="AD59" s="1">
        <v>0</v>
      </c>
      <c r="AE59" s="1">
        <v>0</v>
      </c>
      <c r="AF59" s="1">
        <v>0</v>
      </c>
      <c r="AG59" s="1">
        <v>0</v>
      </c>
      <c r="AH59" s="1">
        <v>0</v>
      </c>
      <c r="AI59" s="1">
        <v>0</v>
      </c>
      <c r="AJ59" s="1">
        <v>0</v>
      </c>
      <c r="AK59" s="1">
        <v>0</v>
      </c>
      <c r="AL59" s="1">
        <v>0</v>
      </c>
      <c r="AM59" s="1">
        <v>0</v>
      </c>
      <c r="AN59" s="1">
        <v>0</v>
      </c>
      <c r="AO59" s="1">
        <v>0</v>
      </c>
      <c r="AP59" s="1">
        <v>0</v>
      </c>
      <c r="AQ59" s="9">
        <f t="shared" si="36"/>
        <v>7.0745752378537485E-3</v>
      </c>
    </row>
    <row r="60" spans="1:43" x14ac:dyDescent="0.2">
      <c r="A60" s="40">
        <f t="shared" si="34"/>
        <v>-0.4399999999999995</v>
      </c>
      <c r="B60" s="9">
        <v>4.5915336695461217E-3</v>
      </c>
      <c r="X60" s="1" t="s">
        <v>113</v>
      </c>
      <c r="Y60" s="8">
        <f t="shared" si="35"/>
        <v>0</v>
      </c>
      <c r="Z60" s="1">
        <v>0</v>
      </c>
      <c r="AA60" s="1">
        <v>0</v>
      </c>
      <c r="AB60" s="1">
        <v>0</v>
      </c>
      <c r="AC60" s="1">
        <v>0</v>
      </c>
      <c r="AD60" s="1">
        <v>0</v>
      </c>
      <c r="AE60" s="1">
        <v>0</v>
      </c>
      <c r="AF60" s="1">
        <v>0</v>
      </c>
      <c r="AG60" s="1">
        <v>0</v>
      </c>
      <c r="AH60" s="1">
        <v>0</v>
      </c>
      <c r="AI60" s="1">
        <v>0</v>
      </c>
      <c r="AJ60" s="1">
        <v>0</v>
      </c>
      <c r="AK60" s="1">
        <v>0</v>
      </c>
      <c r="AL60" s="1">
        <v>0</v>
      </c>
      <c r="AM60" s="1">
        <v>0</v>
      </c>
      <c r="AN60" s="1">
        <v>0</v>
      </c>
      <c r="AO60" s="1">
        <v>0</v>
      </c>
      <c r="AP60" s="1">
        <v>0</v>
      </c>
      <c r="AQ60" s="9">
        <f t="shared" si="36"/>
        <v>7.0757771556501942E-3</v>
      </c>
    </row>
    <row r="61" spans="1:43" x14ac:dyDescent="0.2">
      <c r="A61" s="40">
        <f t="shared" si="34"/>
        <v>-0.41999999999999948</v>
      </c>
      <c r="B61" s="9">
        <v>4.5207287450490519E-3</v>
      </c>
      <c r="X61" s="1" t="s">
        <v>114</v>
      </c>
      <c r="Y61" s="8">
        <f t="shared" si="35"/>
        <v>0</v>
      </c>
      <c r="Z61" s="1">
        <v>0</v>
      </c>
      <c r="AA61" s="1">
        <v>0</v>
      </c>
      <c r="AB61" s="1">
        <v>0</v>
      </c>
      <c r="AC61" s="1">
        <v>0</v>
      </c>
      <c r="AD61" s="1">
        <v>0</v>
      </c>
      <c r="AE61" s="1">
        <v>0</v>
      </c>
      <c r="AF61" s="1">
        <v>0</v>
      </c>
      <c r="AG61" s="1">
        <v>0</v>
      </c>
      <c r="AH61" s="1">
        <v>0</v>
      </c>
      <c r="AI61" s="1">
        <v>0</v>
      </c>
      <c r="AJ61" s="1">
        <v>0</v>
      </c>
      <c r="AK61" s="1">
        <v>0</v>
      </c>
      <c r="AL61" s="1">
        <v>0</v>
      </c>
      <c r="AM61" s="1">
        <v>0</v>
      </c>
      <c r="AN61" s="1">
        <v>0</v>
      </c>
      <c r="AO61" s="1">
        <v>0</v>
      </c>
      <c r="AP61" s="1">
        <v>0</v>
      </c>
      <c r="AQ61" s="9">
        <f t="shared" si="36"/>
        <v>7.0769790489841619E-3</v>
      </c>
    </row>
    <row r="62" spans="1:43" x14ac:dyDescent="0.2">
      <c r="A62" s="40">
        <f t="shared" si="34"/>
        <v>-0.39999999999999947</v>
      </c>
      <c r="B62" s="9">
        <v>4.4499936428219478E-3</v>
      </c>
      <c r="X62" s="1" t="s">
        <v>115</v>
      </c>
      <c r="Y62" s="8">
        <f t="shared" si="35"/>
        <v>0</v>
      </c>
      <c r="Z62" s="1">
        <v>0</v>
      </c>
      <c r="AA62" s="1">
        <v>0</v>
      </c>
      <c r="AB62" s="1">
        <v>0</v>
      </c>
      <c r="AC62" s="1">
        <v>0</v>
      </c>
      <c r="AD62" s="1">
        <v>0</v>
      </c>
      <c r="AE62" s="1">
        <v>0</v>
      </c>
      <c r="AF62" s="1">
        <v>0</v>
      </c>
      <c r="AG62" s="1">
        <v>0</v>
      </c>
      <c r="AH62" s="1">
        <v>0</v>
      </c>
      <c r="AI62" s="1">
        <v>0</v>
      </c>
      <c r="AJ62" s="1">
        <v>0</v>
      </c>
      <c r="AK62" s="1">
        <v>0</v>
      </c>
      <c r="AL62" s="1">
        <v>0</v>
      </c>
      <c r="AM62" s="1">
        <v>0</v>
      </c>
      <c r="AN62" s="1">
        <v>0</v>
      </c>
      <c r="AO62" s="1">
        <v>0</v>
      </c>
      <c r="AP62" s="1">
        <v>0</v>
      </c>
      <c r="AQ62" s="9">
        <f t="shared" si="36"/>
        <v>7.0781809178560549E-3</v>
      </c>
    </row>
    <row r="63" spans="1:43" x14ac:dyDescent="0.2">
      <c r="A63" s="40">
        <f t="shared" si="34"/>
        <v>-0.37999999999999945</v>
      </c>
      <c r="B63" s="9">
        <v>4.379328861725762E-3</v>
      </c>
      <c r="X63" s="1" t="s">
        <v>116</v>
      </c>
      <c r="Y63" s="8">
        <f t="shared" si="35"/>
        <v>0</v>
      </c>
      <c r="Z63" s="1">
        <v>0</v>
      </c>
      <c r="AA63" s="1">
        <v>0</v>
      </c>
      <c r="AB63" s="1">
        <v>0</v>
      </c>
      <c r="AC63" s="1">
        <v>0</v>
      </c>
      <c r="AD63" s="1">
        <v>0</v>
      </c>
      <c r="AE63" s="1">
        <v>0</v>
      </c>
      <c r="AF63" s="1">
        <v>0</v>
      </c>
      <c r="AG63" s="1">
        <v>0</v>
      </c>
      <c r="AH63" s="1">
        <v>0</v>
      </c>
      <c r="AI63" s="1">
        <v>0</v>
      </c>
      <c r="AJ63" s="1">
        <v>0</v>
      </c>
      <c r="AK63" s="1">
        <v>0</v>
      </c>
      <c r="AL63" s="1">
        <v>0</v>
      </c>
      <c r="AM63" s="1">
        <v>0</v>
      </c>
      <c r="AN63" s="1">
        <v>0</v>
      </c>
      <c r="AO63" s="1">
        <v>0</v>
      </c>
      <c r="AP63" s="1">
        <v>0</v>
      </c>
      <c r="AQ63" s="9">
        <f t="shared" si="36"/>
        <v>7.0793827622662765E-3</v>
      </c>
    </row>
    <row r="64" spans="1:43" x14ac:dyDescent="0.2">
      <c r="A64" s="40">
        <f t="shared" si="34"/>
        <v>-0.35999999999999943</v>
      </c>
      <c r="B64" s="9">
        <v>4.3087349044299561E-3</v>
      </c>
      <c r="X64" s="1" t="s">
        <v>117</v>
      </c>
      <c r="Y64" s="8">
        <f t="shared" si="35"/>
        <v>0</v>
      </c>
      <c r="Z64" s="1">
        <v>0</v>
      </c>
      <c r="AA64" s="1">
        <v>0</v>
      </c>
      <c r="AB64" s="1">
        <v>0</v>
      </c>
      <c r="AC64" s="1">
        <v>0</v>
      </c>
      <c r="AD64" s="1">
        <v>0</v>
      </c>
      <c r="AE64" s="1">
        <v>0</v>
      </c>
      <c r="AF64" s="1">
        <v>0</v>
      </c>
      <c r="AG64" s="1">
        <v>0</v>
      </c>
      <c r="AH64" s="1">
        <v>0</v>
      </c>
      <c r="AI64" s="1">
        <v>0</v>
      </c>
      <c r="AJ64" s="1">
        <v>0</v>
      </c>
      <c r="AK64" s="1">
        <v>0</v>
      </c>
      <c r="AL64" s="1">
        <v>0</v>
      </c>
      <c r="AM64" s="1">
        <v>0</v>
      </c>
      <c r="AN64" s="1">
        <v>0</v>
      </c>
      <c r="AO64" s="1">
        <v>0</v>
      </c>
      <c r="AP64" s="1">
        <v>0</v>
      </c>
      <c r="AQ64" s="9">
        <f t="shared" si="36"/>
        <v>7.0805845822152578E-3</v>
      </c>
    </row>
    <row r="65" spans="1:43" x14ac:dyDescent="0.2">
      <c r="A65" s="40">
        <f t="shared" si="34"/>
        <v>-0.33999999999999941</v>
      </c>
      <c r="B65" s="9">
        <v>4.2382122773367836E-3</v>
      </c>
      <c r="X65" s="1" t="s">
        <v>118</v>
      </c>
      <c r="Y65" s="10">
        <f t="shared" si="35"/>
        <v>0</v>
      </c>
      <c r="Z65" s="11">
        <v>0</v>
      </c>
      <c r="AA65" s="11">
        <v>0</v>
      </c>
      <c r="AB65" s="11">
        <v>0</v>
      </c>
      <c r="AC65" s="11">
        <v>0</v>
      </c>
      <c r="AD65" s="11">
        <v>0</v>
      </c>
      <c r="AE65" s="11">
        <v>0</v>
      </c>
      <c r="AF65" s="11">
        <v>0</v>
      </c>
      <c r="AG65" s="11">
        <v>0</v>
      </c>
      <c r="AH65" s="11">
        <v>0</v>
      </c>
      <c r="AI65" s="11">
        <v>0</v>
      </c>
      <c r="AJ65" s="11">
        <v>0</v>
      </c>
      <c r="AK65" s="11">
        <v>0</v>
      </c>
      <c r="AL65" s="11">
        <v>0</v>
      </c>
      <c r="AM65" s="11">
        <v>0</v>
      </c>
      <c r="AN65" s="11">
        <v>0</v>
      </c>
      <c r="AO65" s="11">
        <v>0</v>
      </c>
      <c r="AP65" s="11">
        <v>0</v>
      </c>
      <c r="AQ65" s="12">
        <f t="shared" si="36"/>
        <v>7.081786377703396E-3</v>
      </c>
    </row>
    <row r="66" spans="1:43" x14ac:dyDescent="0.2">
      <c r="A66" s="40">
        <f t="shared" si="34"/>
        <v>-0.3199999999999994</v>
      </c>
      <c r="B66" s="9">
        <v>4.1677614906840965E-3</v>
      </c>
      <c r="X66" s="25" t="s">
        <v>12</v>
      </c>
      <c r="Y66" s="2" t="s">
        <v>42</v>
      </c>
      <c r="Z66" s="2" t="s">
        <v>43</v>
      </c>
      <c r="AA66" s="2" t="s">
        <v>44</v>
      </c>
      <c r="AB66" s="2" t="s">
        <v>45</v>
      </c>
      <c r="AC66" s="2" t="s">
        <v>46</v>
      </c>
      <c r="AD66" s="2" t="s">
        <v>47</v>
      </c>
      <c r="AE66" s="2" t="s">
        <v>48</v>
      </c>
      <c r="AF66" s="2" t="s">
        <v>49</v>
      </c>
      <c r="AG66" s="2" t="s">
        <v>50</v>
      </c>
      <c r="AH66" s="4" t="s">
        <v>51</v>
      </c>
      <c r="AI66" s="2" t="s">
        <v>52</v>
      </c>
      <c r="AJ66" s="2" t="s">
        <v>53</v>
      </c>
      <c r="AK66" s="2" t="s">
        <v>54</v>
      </c>
      <c r="AL66" s="2" t="s">
        <v>55</v>
      </c>
      <c r="AM66" s="2" t="s">
        <v>56</v>
      </c>
      <c r="AN66" s="2" t="s">
        <v>57</v>
      </c>
      <c r="AO66" s="2" t="s">
        <v>58</v>
      </c>
      <c r="AP66" s="2" t="s">
        <v>59</v>
      </c>
      <c r="AQ66" s="2" t="s">
        <v>60</v>
      </c>
    </row>
    <row r="67" spans="1:43" x14ac:dyDescent="0.2">
      <c r="A67" s="40">
        <f t="shared" si="34"/>
        <v>-0.29999999999999938</v>
      </c>
      <c r="B67" s="9">
        <v>4.0973830585169235E-3</v>
      </c>
    </row>
    <row r="68" spans="1:43" x14ac:dyDescent="0.2">
      <c r="A68" s="40">
        <f t="shared" si="34"/>
        <v>-0.27999999999999936</v>
      </c>
      <c r="B68" s="9">
        <v>4.0270774987143376E-3</v>
      </c>
      <c r="D68" s="13" t="s">
        <v>90</v>
      </c>
      <c r="X68" s="13" t="s">
        <v>92</v>
      </c>
    </row>
    <row r="69" spans="1:43" x14ac:dyDescent="0.2">
      <c r="A69" s="40">
        <f t="shared" si="34"/>
        <v>-0.25999999999999934</v>
      </c>
      <c r="B69" s="9">
        <v>3.9568453329505981E-3</v>
      </c>
      <c r="D69" s="14">
        <f>1+2*$B$15*$B$11</f>
        <v>1.1172763924569746</v>
      </c>
      <c r="E69" s="15">
        <f>-$B$15*$B$11</f>
        <v>-5.8638196228487323E-2</v>
      </c>
      <c r="F69" s="15">
        <v>0</v>
      </c>
      <c r="G69" s="15">
        <v>0</v>
      </c>
      <c r="H69" s="15">
        <v>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6">
        <v>0</v>
      </c>
      <c r="X69" s="14">
        <f>1-2*$B$15*(1-$B$11)</f>
        <v>0.88272360754302537</v>
      </c>
      <c r="Y69" s="15">
        <f>$B$15*(1-$B$11)</f>
        <v>5.8638196228487323E-2</v>
      </c>
      <c r="Z69" s="15">
        <v>0</v>
      </c>
      <c r="AA69" s="15">
        <v>0</v>
      </c>
      <c r="AB69" s="15">
        <v>0</v>
      </c>
      <c r="AC69" s="15">
        <v>0</v>
      </c>
      <c r="AD69" s="15">
        <v>0</v>
      </c>
      <c r="AE69" s="15">
        <v>0</v>
      </c>
      <c r="AF69" s="15">
        <v>0</v>
      </c>
      <c r="AG69" s="15">
        <v>0</v>
      </c>
      <c r="AH69" s="15">
        <v>0</v>
      </c>
      <c r="AI69" s="15">
        <v>0</v>
      </c>
      <c r="AJ69" s="15">
        <v>0</v>
      </c>
      <c r="AK69" s="15">
        <v>0</v>
      </c>
      <c r="AL69" s="15">
        <v>0</v>
      </c>
      <c r="AM69" s="15">
        <v>0</v>
      </c>
      <c r="AN69" s="15">
        <v>0</v>
      </c>
      <c r="AO69" s="15">
        <v>0</v>
      </c>
      <c r="AP69" s="16">
        <v>0</v>
      </c>
    </row>
    <row r="70" spans="1:43" x14ac:dyDescent="0.2">
      <c r="A70" s="40">
        <f t="shared" si="34"/>
        <v>-0.23999999999999935</v>
      </c>
      <c r="B70" s="9">
        <v>3.8866870868157211E-3</v>
      </c>
      <c r="D70" s="17">
        <f>-$B$15*$B$11</f>
        <v>-5.8638196228487323E-2</v>
      </c>
      <c r="E70" s="18">
        <f>1+2*$B$15*$B$11</f>
        <v>1.1172763924569746</v>
      </c>
      <c r="F70" s="18">
        <f>-$B$15*$B$11</f>
        <v>-5.8638196228487323E-2</v>
      </c>
      <c r="G70" s="18">
        <v>0</v>
      </c>
      <c r="H70" s="18">
        <v>0</v>
      </c>
      <c r="I70" s="18">
        <v>0</v>
      </c>
      <c r="J70" s="18">
        <v>0</v>
      </c>
      <c r="K70" s="18">
        <v>0</v>
      </c>
      <c r="L70" s="18">
        <v>0</v>
      </c>
      <c r="M70" s="18">
        <v>0</v>
      </c>
      <c r="N70" s="18">
        <v>0</v>
      </c>
      <c r="O70" s="18">
        <v>0</v>
      </c>
      <c r="P70" s="18">
        <v>0</v>
      </c>
      <c r="Q70" s="18">
        <v>0</v>
      </c>
      <c r="R70" s="18">
        <v>0</v>
      </c>
      <c r="S70" s="18">
        <v>0</v>
      </c>
      <c r="T70" s="18">
        <v>0</v>
      </c>
      <c r="U70" s="18">
        <v>0</v>
      </c>
      <c r="V70" s="19">
        <v>0</v>
      </c>
      <c r="X70" s="17">
        <f>$B$15*(1-$B$11)</f>
        <v>5.8638196228487323E-2</v>
      </c>
      <c r="Y70" s="18">
        <f>1-2*$B$15*(1-$B$11)</f>
        <v>0.88272360754302537</v>
      </c>
      <c r="Z70" s="18">
        <f>$B$15*(1-$B$11)</f>
        <v>5.8638196228487323E-2</v>
      </c>
      <c r="AA70" s="18">
        <v>0</v>
      </c>
      <c r="AB70" s="18">
        <v>0</v>
      </c>
      <c r="AC70" s="18">
        <v>0</v>
      </c>
      <c r="AD70" s="18">
        <v>0</v>
      </c>
      <c r="AE70" s="18">
        <v>0</v>
      </c>
      <c r="AF70" s="18">
        <v>0</v>
      </c>
      <c r="AG70" s="18">
        <v>0</v>
      </c>
      <c r="AH70" s="18">
        <v>0</v>
      </c>
      <c r="AI70" s="18">
        <v>0</v>
      </c>
      <c r="AJ70" s="18">
        <v>0</v>
      </c>
      <c r="AK70" s="18">
        <v>0</v>
      </c>
      <c r="AL70" s="18">
        <v>0</v>
      </c>
      <c r="AM70" s="18">
        <v>0</v>
      </c>
      <c r="AN70" s="18">
        <v>0</v>
      </c>
      <c r="AO70" s="18">
        <v>0</v>
      </c>
      <c r="AP70" s="19">
        <v>0</v>
      </c>
    </row>
    <row r="71" spans="1:43" x14ac:dyDescent="0.2">
      <c r="A71" s="40">
        <f>A70+0.02</f>
        <v>-0.21999999999999936</v>
      </c>
      <c r="B71" s="9">
        <v>3.8166032896831403E-3</v>
      </c>
      <c r="D71" s="17">
        <v>0</v>
      </c>
      <c r="E71" s="18">
        <f>-$B$15*$B$11</f>
        <v>-5.8638196228487323E-2</v>
      </c>
      <c r="F71" s="18">
        <f>1+2*$B$15*$B$11</f>
        <v>1.1172763924569746</v>
      </c>
      <c r="G71" s="18">
        <f>-$B$15*$B$11</f>
        <v>-5.8638196228487323E-2</v>
      </c>
      <c r="H71" s="18">
        <v>0</v>
      </c>
      <c r="I71" s="18">
        <v>0</v>
      </c>
      <c r="J71" s="18">
        <v>0</v>
      </c>
      <c r="K71" s="18">
        <v>0</v>
      </c>
      <c r="L71" s="18">
        <v>0</v>
      </c>
      <c r="M71" s="18">
        <v>0</v>
      </c>
      <c r="N71" s="18">
        <v>0</v>
      </c>
      <c r="O71" s="18">
        <v>0</v>
      </c>
      <c r="P71" s="18">
        <v>0</v>
      </c>
      <c r="Q71" s="18">
        <v>0</v>
      </c>
      <c r="R71" s="18">
        <v>0</v>
      </c>
      <c r="S71" s="18">
        <v>0</v>
      </c>
      <c r="T71" s="18">
        <v>0</v>
      </c>
      <c r="U71" s="18">
        <v>0</v>
      </c>
      <c r="V71" s="19">
        <v>0</v>
      </c>
      <c r="X71" s="17">
        <v>0</v>
      </c>
      <c r="Y71" s="18">
        <f>$B$15*(1-$B$11)</f>
        <v>5.8638196228487323E-2</v>
      </c>
      <c r="Z71" s="18">
        <f>1-2*$B$15*(1-$B$11)</f>
        <v>0.88272360754302537</v>
      </c>
      <c r="AA71" s="18">
        <f>$B$15*(1-$B$11)</f>
        <v>5.8638196228487323E-2</v>
      </c>
      <c r="AB71" s="18">
        <v>0</v>
      </c>
      <c r="AC71" s="18">
        <v>0</v>
      </c>
      <c r="AD71" s="18">
        <v>0</v>
      </c>
      <c r="AE71" s="18">
        <v>0</v>
      </c>
      <c r="AF71" s="18">
        <v>0</v>
      </c>
      <c r="AG71" s="18">
        <v>0</v>
      </c>
      <c r="AH71" s="18">
        <v>0</v>
      </c>
      <c r="AI71" s="18">
        <v>0</v>
      </c>
      <c r="AJ71" s="18">
        <v>0</v>
      </c>
      <c r="AK71" s="18">
        <v>0</v>
      </c>
      <c r="AL71" s="18">
        <v>0</v>
      </c>
      <c r="AM71" s="18">
        <v>0</v>
      </c>
      <c r="AN71" s="18">
        <v>0</v>
      </c>
      <c r="AO71" s="18">
        <v>0</v>
      </c>
      <c r="AP71" s="19">
        <v>0</v>
      </c>
    </row>
    <row r="72" spans="1:43" x14ac:dyDescent="0.2">
      <c r="A72" s="40">
        <f t="shared" si="34"/>
        <v>-0.19999999999999937</v>
      </c>
      <c r="B72" s="9">
        <v>3.746594474834497E-3</v>
      </c>
      <c r="D72" s="17">
        <v>0</v>
      </c>
      <c r="E72" s="18">
        <v>0</v>
      </c>
      <c r="F72" s="18">
        <f>-$B$15*$B$11</f>
        <v>-5.8638196228487323E-2</v>
      </c>
      <c r="G72" s="18">
        <f>1+2*$B$15*$B$11</f>
        <v>1.1172763924569746</v>
      </c>
      <c r="H72" s="18">
        <f>-$B$15*$B$11</f>
        <v>-5.8638196228487323E-2</v>
      </c>
      <c r="I72" s="18">
        <v>0</v>
      </c>
      <c r="J72" s="18">
        <v>0</v>
      </c>
      <c r="K72" s="18">
        <v>0</v>
      </c>
      <c r="L72" s="18">
        <v>0</v>
      </c>
      <c r="M72" s="18">
        <v>0</v>
      </c>
      <c r="N72" s="18">
        <v>0</v>
      </c>
      <c r="O72" s="18">
        <v>0</v>
      </c>
      <c r="P72" s="18">
        <v>0</v>
      </c>
      <c r="Q72" s="18">
        <v>0</v>
      </c>
      <c r="R72" s="18">
        <v>0</v>
      </c>
      <c r="S72" s="18">
        <v>0</v>
      </c>
      <c r="T72" s="18">
        <v>0</v>
      </c>
      <c r="U72" s="18">
        <v>0</v>
      </c>
      <c r="V72" s="19">
        <v>0</v>
      </c>
      <c r="X72" s="17">
        <v>0</v>
      </c>
      <c r="Y72" s="18">
        <v>0</v>
      </c>
      <c r="Z72" s="18">
        <f>$B$15*(1-$B$11)</f>
        <v>5.8638196228487323E-2</v>
      </c>
      <c r="AA72" s="18">
        <f>1-2*$B$15*(1-$B$11)</f>
        <v>0.88272360754302537</v>
      </c>
      <c r="AB72" s="18">
        <f>$B$15*(1-$B$11)</f>
        <v>5.8638196228487323E-2</v>
      </c>
      <c r="AC72" s="18">
        <v>0</v>
      </c>
      <c r="AD72" s="18">
        <v>0</v>
      </c>
      <c r="AE72" s="18">
        <v>0</v>
      </c>
      <c r="AF72" s="18">
        <v>0</v>
      </c>
      <c r="AG72" s="18">
        <v>0</v>
      </c>
      <c r="AH72" s="18">
        <v>0</v>
      </c>
      <c r="AI72" s="18">
        <v>0</v>
      </c>
      <c r="AJ72" s="18">
        <v>0</v>
      </c>
      <c r="AK72" s="18">
        <v>0</v>
      </c>
      <c r="AL72" s="18">
        <v>0</v>
      </c>
      <c r="AM72" s="18">
        <v>0</v>
      </c>
      <c r="AN72" s="18">
        <v>0</v>
      </c>
      <c r="AO72" s="18">
        <v>0</v>
      </c>
      <c r="AP72" s="19">
        <v>0</v>
      </c>
    </row>
    <row r="73" spans="1:43" x14ac:dyDescent="0.2">
      <c r="A73" s="40">
        <f t="shared" si="34"/>
        <v>-0.17999999999999938</v>
      </c>
      <c r="B73" s="9">
        <v>3.6766611793750403E-3</v>
      </c>
      <c r="D73" s="17">
        <v>0</v>
      </c>
      <c r="E73" s="18">
        <v>0</v>
      </c>
      <c r="F73" s="18">
        <v>0</v>
      </c>
      <c r="G73" s="18">
        <f>-$B$15*$B$11</f>
        <v>-5.8638196228487323E-2</v>
      </c>
      <c r="H73" s="18">
        <f>1+2*$B$15*$B$11</f>
        <v>1.1172763924569746</v>
      </c>
      <c r="I73" s="18">
        <f>-$B$15*$B$11</f>
        <v>-5.8638196228487323E-2</v>
      </c>
      <c r="J73" s="18">
        <v>0</v>
      </c>
      <c r="K73" s="18">
        <v>0</v>
      </c>
      <c r="L73" s="18">
        <v>0</v>
      </c>
      <c r="M73" s="18">
        <v>0</v>
      </c>
      <c r="N73" s="18">
        <v>0</v>
      </c>
      <c r="O73" s="18">
        <v>0</v>
      </c>
      <c r="P73" s="18">
        <v>0</v>
      </c>
      <c r="Q73" s="18">
        <v>0</v>
      </c>
      <c r="R73" s="18">
        <v>0</v>
      </c>
      <c r="S73" s="18">
        <v>0</v>
      </c>
      <c r="T73" s="18">
        <v>0</v>
      </c>
      <c r="U73" s="18">
        <v>0</v>
      </c>
      <c r="V73" s="19">
        <v>0</v>
      </c>
      <c r="X73" s="17">
        <v>0</v>
      </c>
      <c r="Y73" s="18">
        <v>0</v>
      </c>
      <c r="Z73" s="18">
        <v>0</v>
      </c>
      <c r="AA73" s="18">
        <f>$B$15*(1-$B$11)</f>
        <v>5.8638196228487323E-2</v>
      </c>
      <c r="AB73" s="18">
        <f>1-2*$B$15*(1-$B$11)</f>
        <v>0.88272360754302537</v>
      </c>
      <c r="AC73" s="18">
        <f>$B$15*(1-$B$11)</f>
        <v>5.8638196228487323E-2</v>
      </c>
      <c r="AD73" s="18">
        <v>0</v>
      </c>
      <c r="AE73" s="18">
        <v>0</v>
      </c>
      <c r="AF73" s="18">
        <v>0</v>
      </c>
      <c r="AG73" s="18">
        <v>0</v>
      </c>
      <c r="AH73" s="18">
        <v>0</v>
      </c>
      <c r="AI73" s="18">
        <v>0</v>
      </c>
      <c r="AJ73" s="18">
        <v>0</v>
      </c>
      <c r="AK73" s="18">
        <v>0</v>
      </c>
      <c r="AL73" s="18">
        <v>0</v>
      </c>
      <c r="AM73" s="18">
        <v>0</v>
      </c>
      <c r="AN73" s="18">
        <v>0</v>
      </c>
      <c r="AO73" s="18">
        <v>0</v>
      </c>
      <c r="AP73" s="19">
        <v>0</v>
      </c>
    </row>
    <row r="74" spans="1:43" x14ac:dyDescent="0.2">
      <c r="A74" s="40">
        <f t="shared" si="34"/>
        <v>-0.15999999999999939</v>
      </c>
      <c r="B74" s="9">
        <v>3.6068039442962441E-3</v>
      </c>
      <c r="D74" s="17">
        <v>0</v>
      </c>
      <c r="E74" s="18">
        <v>0</v>
      </c>
      <c r="F74" s="18">
        <v>0</v>
      </c>
      <c r="G74" s="18">
        <v>0</v>
      </c>
      <c r="H74" s="18">
        <f>-$B$15*$B$11</f>
        <v>-5.8638196228487323E-2</v>
      </c>
      <c r="I74" s="18">
        <f>1+2*$B$15*$B$11</f>
        <v>1.1172763924569746</v>
      </c>
      <c r="J74" s="18">
        <f>-$B$15*$B$11</f>
        <v>-5.8638196228487323E-2</v>
      </c>
      <c r="K74" s="18">
        <v>0</v>
      </c>
      <c r="L74" s="18">
        <v>0</v>
      </c>
      <c r="M74" s="18">
        <v>0</v>
      </c>
      <c r="N74" s="18">
        <v>0</v>
      </c>
      <c r="O74" s="18">
        <v>0</v>
      </c>
      <c r="P74" s="18">
        <v>0</v>
      </c>
      <c r="Q74" s="18">
        <v>0</v>
      </c>
      <c r="R74" s="18">
        <v>0</v>
      </c>
      <c r="S74" s="18">
        <v>0</v>
      </c>
      <c r="T74" s="18">
        <v>0</v>
      </c>
      <c r="U74" s="18">
        <v>0</v>
      </c>
      <c r="V74" s="19">
        <v>0</v>
      </c>
      <c r="X74" s="17">
        <v>0</v>
      </c>
      <c r="Y74" s="18">
        <v>0</v>
      </c>
      <c r="Z74" s="18">
        <v>0</v>
      </c>
      <c r="AA74" s="18">
        <v>0</v>
      </c>
      <c r="AB74" s="18">
        <f>$B$15*(1-$B$11)</f>
        <v>5.8638196228487323E-2</v>
      </c>
      <c r="AC74" s="18">
        <f>1-2*$B$15*(1-$B$11)</f>
        <v>0.88272360754302537</v>
      </c>
      <c r="AD74" s="18">
        <f>$B$15*(1-$B$11)</f>
        <v>5.8638196228487323E-2</v>
      </c>
      <c r="AE74" s="18">
        <v>0</v>
      </c>
      <c r="AF74" s="18">
        <v>0</v>
      </c>
      <c r="AG74" s="18">
        <v>0</v>
      </c>
      <c r="AH74" s="18">
        <v>0</v>
      </c>
      <c r="AI74" s="18">
        <v>0</v>
      </c>
      <c r="AJ74" s="18">
        <v>0</v>
      </c>
      <c r="AK74" s="18">
        <v>0</v>
      </c>
      <c r="AL74" s="18">
        <v>0</v>
      </c>
      <c r="AM74" s="18">
        <v>0</v>
      </c>
      <c r="AN74" s="18">
        <v>0</v>
      </c>
      <c r="AO74" s="18">
        <v>0</v>
      </c>
      <c r="AP74" s="19">
        <v>0</v>
      </c>
    </row>
    <row r="75" spans="1:43" x14ac:dyDescent="0.2">
      <c r="A75" s="40">
        <f t="shared" si="34"/>
        <v>-0.1399999999999994</v>
      </c>
      <c r="B75" s="9">
        <v>3.5370233144111918E-3</v>
      </c>
      <c r="D75" s="17">
        <v>0</v>
      </c>
      <c r="E75" s="18">
        <v>0</v>
      </c>
      <c r="F75" s="18">
        <v>0</v>
      </c>
      <c r="G75" s="18">
        <v>0</v>
      </c>
      <c r="H75" s="18">
        <v>0</v>
      </c>
      <c r="I75" s="18">
        <f>-$B$15*$B$11</f>
        <v>-5.8638196228487323E-2</v>
      </c>
      <c r="J75" s="18">
        <f>1+2*$B$15*$B$11</f>
        <v>1.1172763924569746</v>
      </c>
      <c r="K75" s="18">
        <f>-$B$15*$B$11</f>
        <v>-5.8638196228487323E-2</v>
      </c>
      <c r="L75" s="18">
        <v>0</v>
      </c>
      <c r="M75" s="18">
        <v>0</v>
      </c>
      <c r="N75" s="18">
        <v>0</v>
      </c>
      <c r="O75" s="18">
        <v>0</v>
      </c>
      <c r="P75" s="18">
        <v>0</v>
      </c>
      <c r="Q75" s="18">
        <v>0</v>
      </c>
      <c r="R75" s="18">
        <v>0</v>
      </c>
      <c r="S75" s="18">
        <v>0</v>
      </c>
      <c r="T75" s="18">
        <v>0</v>
      </c>
      <c r="U75" s="18">
        <v>0</v>
      </c>
      <c r="V75" s="19">
        <v>0</v>
      </c>
      <c r="X75" s="17">
        <v>0</v>
      </c>
      <c r="Y75" s="18">
        <v>0</v>
      </c>
      <c r="Z75" s="18">
        <v>0</v>
      </c>
      <c r="AA75" s="18">
        <v>0</v>
      </c>
      <c r="AB75" s="18">
        <v>0</v>
      </c>
      <c r="AC75" s="18">
        <f>$B$15*(1-$B$11)</f>
        <v>5.8638196228487323E-2</v>
      </c>
      <c r="AD75" s="18">
        <f>1-2*$B$15*(1-$B$11)</f>
        <v>0.88272360754302537</v>
      </c>
      <c r="AE75" s="18">
        <f>$B$15*(1-$B$11)</f>
        <v>5.8638196228487323E-2</v>
      </c>
      <c r="AF75" s="18">
        <v>0</v>
      </c>
      <c r="AG75" s="18">
        <v>0</v>
      </c>
      <c r="AH75" s="18">
        <v>0</v>
      </c>
      <c r="AI75" s="18">
        <v>0</v>
      </c>
      <c r="AJ75" s="18">
        <v>0</v>
      </c>
      <c r="AK75" s="18">
        <v>0</v>
      </c>
      <c r="AL75" s="18">
        <v>0</v>
      </c>
      <c r="AM75" s="18">
        <v>0</v>
      </c>
      <c r="AN75" s="18">
        <v>0</v>
      </c>
      <c r="AO75" s="18">
        <v>0</v>
      </c>
      <c r="AP75" s="19">
        <v>0</v>
      </c>
    </row>
    <row r="76" spans="1:43" x14ac:dyDescent="0.2">
      <c r="A76" s="40">
        <f t="shared" si="34"/>
        <v>-0.1199999999999994</v>
      </c>
      <c r="B76" s="9">
        <v>3.4673198383825543E-3</v>
      </c>
      <c r="D76" s="17">
        <v>0</v>
      </c>
      <c r="E76" s="18">
        <v>0</v>
      </c>
      <c r="F76" s="18">
        <v>0</v>
      </c>
      <c r="G76" s="18">
        <v>0</v>
      </c>
      <c r="H76" s="18">
        <v>0</v>
      </c>
      <c r="I76" s="18">
        <v>0</v>
      </c>
      <c r="J76" s="18">
        <f>-$B$15*$B$11</f>
        <v>-5.8638196228487323E-2</v>
      </c>
      <c r="K76" s="18">
        <f>1+2*$B$15*$B$11</f>
        <v>1.1172763924569746</v>
      </c>
      <c r="L76" s="18">
        <f>-$B$15*$B$11</f>
        <v>-5.8638196228487323E-2</v>
      </c>
      <c r="M76" s="18">
        <v>0</v>
      </c>
      <c r="N76" s="18">
        <v>0</v>
      </c>
      <c r="O76" s="18">
        <v>0</v>
      </c>
      <c r="P76" s="18">
        <v>0</v>
      </c>
      <c r="Q76" s="18">
        <v>0</v>
      </c>
      <c r="R76" s="18">
        <v>0</v>
      </c>
      <c r="S76" s="18">
        <v>0</v>
      </c>
      <c r="T76" s="18">
        <v>0</v>
      </c>
      <c r="U76" s="18">
        <v>0</v>
      </c>
      <c r="V76" s="19">
        <v>0</v>
      </c>
      <c r="X76" s="17">
        <v>0</v>
      </c>
      <c r="Y76" s="18">
        <v>0</v>
      </c>
      <c r="Z76" s="18">
        <v>0</v>
      </c>
      <c r="AA76" s="18">
        <v>0</v>
      </c>
      <c r="AB76" s="18">
        <v>0</v>
      </c>
      <c r="AC76" s="18">
        <v>0</v>
      </c>
      <c r="AD76" s="18">
        <f>$B$15*(1-$B$11)</f>
        <v>5.8638196228487323E-2</v>
      </c>
      <c r="AE76" s="18">
        <f>1-2*$B$15*(1-$B$11)</f>
        <v>0.88272360754302537</v>
      </c>
      <c r="AF76" s="18">
        <f>$B$15*(1-$B$11)</f>
        <v>5.8638196228487323E-2</v>
      </c>
      <c r="AG76" s="18">
        <v>0</v>
      </c>
      <c r="AH76" s="18">
        <v>0</v>
      </c>
      <c r="AI76" s="18">
        <v>0</v>
      </c>
      <c r="AJ76" s="18">
        <v>0</v>
      </c>
      <c r="AK76" s="18">
        <v>0</v>
      </c>
      <c r="AL76" s="18">
        <v>0</v>
      </c>
      <c r="AM76" s="18">
        <v>0</v>
      </c>
      <c r="AN76" s="18">
        <v>0</v>
      </c>
      <c r="AO76" s="18">
        <v>0</v>
      </c>
      <c r="AP76" s="19">
        <v>0</v>
      </c>
    </row>
    <row r="77" spans="1:43" x14ac:dyDescent="0.2">
      <c r="A77" s="40">
        <f t="shared" si="34"/>
        <v>-9.9999999999999395E-2</v>
      </c>
      <c r="B77" s="9">
        <v>3.3976940686921697E-3</v>
      </c>
      <c r="D77" s="17">
        <v>0</v>
      </c>
      <c r="E77" s="18">
        <v>0</v>
      </c>
      <c r="F77" s="18">
        <v>0</v>
      </c>
      <c r="G77" s="18">
        <v>0</v>
      </c>
      <c r="H77" s="18">
        <v>0</v>
      </c>
      <c r="I77" s="18">
        <v>0</v>
      </c>
      <c r="J77" s="18">
        <v>0</v>
      </c>
      <c r="K77" s="18">
        <f>-$B$15*$B$11</f>
        <v>-5.8638196228487323E-2</v>
      </c>
      <c r="L77" s="18">
        <f>1+2*$B$15*$B$11</f>
        <v>1.1172763924569746</v>
      </c>
      <c r="M77" s="18">
        <f>-$B$15*$B$11</f>
        <v>-5.8638196228487323E-2</v>
      </c>
      <c r="N77" s="18">
        <v>0</v>
      </c>
      <c r="O77" s="18">
        <v>0</v>
      </c>
      <c r="P77" s="18">
        <v>0</v>
      </c>
      <c r="Q77" s="18">
        <v>0</v>
      </c>
      <c r="R77" s="18">
        <v>0</v>
      </c>
      <c r="S77" s="18">
        <v>0</v>
      </c>
      <c r="T77" s="18">
        <v>0</v>
      </c>
      <c r="U77" s="18">
        <v>0</v>
      </c>
      <c r="V77" s="19">
        <v>0</v>
      </c>
      <c r="X77" s="17">
        <v>0</v>
      </c>
      <c r="Y77" s="18">
        <v>0</v>
      </c>
      <c r="Z77" s="18">
        <v>0</v>
      </c>
      <c r="AA77" s="18">
        <v>0</v>
      </c>
      <c r="AB77" s="18">
        <v>0</v>
      </c>
      <c r="AC77" s="18">
        <v>0</v>
      </c>
      <c r="AD77" s="18">
        <v>0</v>
      </c>
      <c r="AE77" s="18">
        <f>$B$15*(1-$B$11)</f>
        <v>5.8638196228487323E-2</v>
      </c>
      <c r="AF77" s="18">
        <f>1-2*$B$15*(1-$B$11)</f>
        <v>0.88272360754302537</v>
      </c>
      <c r="AG77" s="18">
        <f>$B$15*(1-$B$11)</f>
        <v>5.8638196228487323E-2</v>
      </c>
      <c r="AH77" s="18">
        <v>0</v>
      </c>
      <c r="AI77" s="18">
        <v>0</v>
      </c>
      <c r="AJ77" s="18">
        <v>0</v>
      </c>
      <c r="AK77" s="18">
        <v>0</v>
      </c>
      <c r="AL77" s="18">
        <v>0</v>
      </c>
      <c r="AM77" s="18">
        <v>0</v>
      </c>
      <c r="AN77" s="18">
        <v>0</v>
      </c>
      <c r="AO77" s="18">
        <v>0</v>
      </c>
      <c r="AP77" s="19">
        <v>0</v>
      </c>
    </row>
    <row r="78" spans="1:43" x14ac:dyDescent="0.2">
      <c r="A78" s="40">
        <f t="shared" si="34"/>
        <v>-7.9999999999999391E-2</v>
      </c>
      <c r="B78" s="9">
        <v>3.3281465616281647E-3</v>
      </c>
      <c r="D78" s="17">
        <v>0</v>
      </c>
      <c r="E78" s="18">
        <v>0</v>
      </c>
      <c r="F78" s="18">
        <v>0</v>
      </c>
      <c r="G78" s="18">
        <v>0</v>
      </c>
      <c r="H78" s="18">
        <v>0</v>
      </c>
      <c r="I78" s="18">
        <v>0</v>
      </c>
      <c r="J78" s="18">
        <v>0</v>
      </c>
      <c r="K78" s="18">
        <v>0</v>
      </c>
      <c r="L78" s="18">
        <f>-$B$15*$B$11</f>
        <v>-5.8638196228487323E-2</v>
      </c>
      <c r="M78" s="18">
        <f>1+2*$B$15*$B$11</f>
        <v>1.1172763924569746</v>
      </c>
      <c r="N78" s="18">
        <f>-$B$15*$B$11</f>
        <v>-5.8638196228487323E-2</v>
      </c>
      <c r="O78" s="18">
        <v>0</v>
      </c>
      <c r="P78" s="18">
        <v>0</v>
      </c>
      <c r="Q78" s="18">
        <v>0</v>
      </c>
      <c r="R78" s="18">
        <v>0</v>
      </c>
      <c r="S78" s="18">
        <v>0</v>
      </c>
      <c r="T78" s="18">
        <v>0</v>
      </c>
      <c r="U78" s="18">
        <v>0</v>
      </c>
      <c r="V78" s="19">
        <v>0</v>
      </c>
      <c r="X78" s="17">
        <v>0</v>
      </c>
      <c r="Y78" s="18">
        <v>0</v>
      </c>
      <c r="Z78" s="18">
        <v>0</v>
      </c>
      <c r="AA78" s="18">
        <v>0</v>
      </c>
      <c r="AB78" s="18">
        <v>0</v>
      </c>
      <c r="AC78" s="18">
        <v>0</v>
      </c>
      <c r="AD78" s="18">
        <v>0</v>
      </c>
      <c r="AE78" s="18">
        <v>0</v>
      </c>
      <c r="AF78" s="18">
        <f>$B$15*(1-$B$11)</f>
        <v>5.8638196228487323E-2</v>
      </c>
      <c r="AG78" s="18">
        <f>1-2*$B$15*(1-$B$11)</f>
        <v>0.88272360754302537</v>
      </c>
      <c r="AH78" s="18">
        <f>$B$15*(1-$B$11)</f>
        <v>5.8638196228487323E-2</v>
      </c>
      <c r="AI78" s="18">
        <v>0</v>
      </c>
      <c r="AJ78" s="18">
        <v>0</v>
      </c>
      <c r="AK78" s="18">
        <v>0</v>
      </c>
      <c r="AL78" s="18">
        <v>0</v>
      </c>
      <c r="AM78" s="18">
        <v>0</v>
      </c>
      <c r="AN78" s="18">
        <v>0</v>
      </c>
      <c r="AO78" s="18">
        <v>0</v>
      </c>
      <c r="AP78" s="19">
        <v>0</v>
      </c>
    </row>
    <row r="79" spans="1:43" x14ac:dyDescent="0.2">
      <c r="A79" s="40">
        <f t="shared" si="34"/>
        <v>-5.9999999999999387E-2</v>
      </c>
      <c r="B79" s="9">
        <v>3.2586778772469849E-3</v>
      </c>
      <c r="D79" s="17">
        <v>0</v>
      </c>
      <c r="E79" s="18">
        <v>0</v>
      </c>
      <c r="F79" s="18">
        <v>0</v>
      </c>
      <c r="G79" s="18">
        <v>0</v>
      </c>
      <c r="H79" s="18">
        <v>0</v>
      </c>
      <c r="I79" s="18">
        <v>0</v>
      </c>
      <c r="J79" s="18">
        <v>0</v>
      </c>
      <c r="K79" s="18">
        <v>0</v>
      </c>
      <c r="L79" s="18">
        <v>0</v>
      </c>
      <c r="M79" s="18">
        <f>-$B$15*$B$11</f>
        <v>-5.8638196228487323E-2</v>
      </c>
      <c r="N79" s="18">
        <f>1+2*$B$15*$B$11</f>
        <v>1.1172763924569746</v>
      </c>
      <c r="O79" s="18">
        <f>-$B$15*$B$11</f>
        <v>-5.8638196228487323E-2</v>
      </c>
      <c r="P79" s="18">
        <v>0</v>
      </c>
      <c r="Q79" s="18">
        <v>0</v>
      </c>
      <c r="R79" s="18">
        <v>0</v>
      </c>
      <c r="S79" s="18">
        <v>0</v>
      </c>
      <c r="T79" s="18">
        <v>0</v>
      </c>
      <c r="U79" s="18">
        <v>0</v>
      </c>
      <c r="V79" s="19">
        <v>0</v>
      </c>
      <c r="X79" s="17">
        <v>0</v>
      </c>
      <c r="Y79" s="18">
        <v>0</v>
      </c>
      <c r="Z79" s="18">
        <v>0</v>
      </c>
      <c r="AA79" s="18">
        <v>0</v>
      </c>
      <c r="AB79" s="18">
        <v>0</v>
      </c>
      <c r="AC79" s="18">
        <v>0</v>
      </c>
      <c r="AD79" s="18">
        <v>0</v>
      </c>
      <c r="AE79" s="18">
        <v>0</v>
      </c>
      <c r="AF79" s="18">
        <v>0</v>
      </c>
      <c r="AG79" s="18">
        <f>$B$15*(1-$B$11)</f>
        <v>5.8638196228487323E-2</v>
      </c>
      <c r="AH79" s="18">
        <f>1-2*$B$15*(1-$B$11)</f>
        <v>0.88272360754302537</v>
      </c>
      <c r="AI79" s="18">
        <f>$B$15*(1-$B$11)</f>
        <v>5.8638196228487323E-2</v>
      </c>
      <c r="AJ79" s="18">
        <v>0</v>
      </c>
      <c r="AK79" s="18">
        <v>0</v>
      </c>
      <c r="AL79" s="18">
        <v>0</v>
      </c>
      <c r="AM79" s="18">
        <v>0</v>
      </c>
      <c r="AN79" s="18">
        <v>0</v>
      </c>
      <c r="AO79" s="18">
        <v>0</v>
      </c>
      <c r="AP79" s="19">
        <v>0</v>
      </c>
    </row>
    <row r="80" spans="1:43" x14ac:dyDescent="0.2">
      <c r="A80" s="40">
        <f t="shared" si="34"/>
        <v>-3.9999999999999383E-2</v>
      </c>
      <c r="B80" s="9">
        <v>3.1892885793671777E-3</v>
      </c>
      <c r="D80" s="17">
        <v>0</v>
      </c>
      <c r="E80" s="18">
        <v>0</v>
      </c>
      <c r="F80" s="18">
        <v>0</v>
      </c>
      <c r="G80" s="18">
        <v>0</v>
      </c>
      <c r="H80" s="18">
        <v>0</v>
      </c>
      <c r="I80" s="18">
        <v>0</v>
      </c>
      <c r="J80" s="18">
        <v>0</v>
      </c>
      <c r="K80" s="18">
        <v>0</v>
      </c>
      <c r="L80" s="18">
        <v>0</v>
      </c>
      <c r="M80" s="18">
        <v>0</v>
      </c>
      <c r="N80" s="18">
        <f>-$B$15*$B$11</f>
        <v>-5.8638196228487323E-2</v>
      </c>
      <c r="O80" s="18">
        <f>1+2*$B$15*$B$11</f>
        <v>1.1172763924569746</v>
      </c>
      <c r="P80" s="18">
        <f>-$B$15*$B$11</f>
        <v>-5.8638196228487323E-2</v>
      </c>
      <c r="Q80" s="18">
        <v>0</v>
      </c>
      <c r="R80" s="18">
        <v>0</v>
      </c>
      <c r="S80" s="18">
        <v>0</v>
      </c>
      <c r="T80" s="18">
        <v>0</v>
      </c>
      <c r="U80" s="18">
        <v>0</v>
      </c>
      <c r="V80" s="19">
        <v>0</v>
      </c>
      <c r="X80" s="17">
        <v>0</v>
      </c>
      <c r="Y80" s="18">
        <v>0</v>
      </c>
      <c r="Z80" s="18">
        <v>0</v>
      </c>
      <c r="AA80" s="18">
        <v>0</v>
      </c>
      <c r="AB80" s="18">
        <v>0</v>
      </c>
      <c r="AC80" s="18">
        <v>0</v>
      </c>
      <c r="AD80" s="18">
        <v>0</v>
      </c>
      <c r="AE80" s="18">
        <v>0</v>
      </c>
      <c r="AF80" s="18">
        <v>0</v>
      </c>
      <c r="AG80" s="18">
        <v>0</v>
      </c>
      <c r="AH80" s="18">
        <f>$B$15*(1-$B$11)</f>
        <v>5.8638196228487323E-2</v>
      </c>
      <c r="AI80" s="18">
        <f>1-2*$B$15*(1-$B$11)</f>
        <v>0.88272360754302537</v>
      </c>
      <c r="AJ80" s="18">
        <f>$B$15*(1-$B$11)</f>
        <v>5.8638196228487323E-2</v>
      </c>
      <c r="AK80" s="18">
        <v>0</v>
      </c>
      <c r="AL80" s="18">
        <v>0</v>
      </c>
      <c r="AM80" s="18">
        <v>0</v>
      </c>
      <c r="AN80" s="18">
        <v>0</v>
      </c>
      <c r="AO80" s="18">
        <v>0</v>
      </c>
      <c r="AP80" s="19">
        <v>0</v>
      </c>
    </row>
    <row r="81" spans="1:42" x14ac:dyDescent="0.2">
      <c r="A81" s="40">
        <f t="shared" si="34"/>
        <v>-1.9999999999999383E-2</v>
      </c>
      <c r="B81" s="9">
        <v>3.1199792354927869E-3</v>
      </c>
      <c r="D81" s="17">
        <v>0</v>
      </c>
      <c r="E81" s="18">
        <v>0</v>
      </c>
      <c r="F81" s="18">
        <v>0</v>
      </c>
      <c r="G81" s="18">
        <v>0</v>
      </c>
      <c r="H81" s="18">
        <v>0</v>
      </c>
      <c r="I81" s="18">
        <v>0</v>
      </c>
      <c r="J81" s="18">
        <v>0</v>
      </c>
      <c r="K81" s="18">
        <v>0</v>
      </c>
      <c r="L81" s="18">
        <v>0</v>
      </c>
      <c r="M81" s="18">
        <v>0</v>
      </c>
      <c r="N81" s="18">
        <v>0</v>
      </c>
      <c r="O81" s="18">
        <f>-$B$15*$B$11</f>
        <v>-5.8638196228487323E-2</v>
      </c>
      <c r="P81" s="18">
        <f>1+2*$B$15*$B$11</f>
        <v>1.1172763924569746</v>
      </c>
      <c r="Q81" s="18">
        <f>-$B$15*$B$11</f>
        <v>-5.8638196228487323E-2</v>
      </c>
      <c r="R81" s="18">
        <v>0</v>
      </c>
      <c r="S81" s="18">
        <v>0</v>
      </c>
      <c r="T81" s="18">
        <v>0</v>
      </c>
      <c r="U81" s="18">
        <v>0</v>
      </c>
      <c r="V81" s="19">
        <v>0</v>
      </c>
      <c r="X81" s="17">
        <v>0</v>
      </c>
      <c r="Y81" s="18">
        <v>0</v>
      </c>
      <c r="Z81" s="18">
        <v>0</v>
      </c>
      <c r="AA81" s="18">
        <v>0</v>
      </c>
      <c r="AB81" s="18">
        <v>0</v>
      </c>
      <c r="AC81" s="18">
        <v>0</v>
      </c>
      <c r="AD81" s="18">
        <v>0</v>
      </c>
      <c r="AE81" s="18">
        <v>0</v>
      </c>
      <c r="AF81" s="18">
        <v>0</v>
      </c>
      <c r="AG81" s="18">
        <v>0</v>
      </c>
      <c r="AH81" s="18">
        <v>0</v>
      </c>
      <c r="AI81" s="18">
        <f>$B$15*(1-$B$11)</f>
        <v>5.8638196228487323E-2</v>
      </c>
      <c r="AJ81" s="18">
        <f>1-2*$B$15*(1-$B$11)</f>
        <v>0.88272360754302537</v>
      </c>
      <c r="AK81" s="18">
        <f>$B$15*(1-$B$11)</f>
        <v>5.8638196228487323E-2</v>
      </c>
      <c r="AL81" s="18">
        <v>0</v>
      </c>
      <c r="AM81" s="18">
        <v>0</v>
      </c>
      <c r="AN81" s="18">
        <v>0</v>
      </c>
      <c r="AO81" s="18">
        <v>0</v>
      </c>
      <c r="AP81" s="19">
        <v>0</v>
      </c>
    </row>
    <row r="82" spans="1:42" x14ac:dyDescent="0.2">
      <c r="A82" s="42">
        <f t="shared" si="34"/>
        <v>6.1756155744774333E-16</v>
      </c>
      <c r="B82" s="9">
        <v>3.05075041684022E-3</v>
      </c>
      <c r="D82" s="17">
        <v>0</v>
      </c>
      <c r="E82" s="18">
        <v>0</v>
      </c>
      <c r="F82" s="18">
        <v>0</v>
      </c>
      <c r="G82" s="18">
        <v>0</v>
      </c>
      <c r="H82" s="18">
        <v>0</v>
      </c>
      <c r="I82" s="18">
        <v>0</v>
      </c>
      <c r="J82" s="18">
        <v>0</v>
      </c>
      <c r="K82" s="18">
        <v>0</v>
      </c>
      <c r="L82" s="18">
        <v>0</v>
      </c>
      <c r="M82" s="18">
        <v>0</v>
      </c>
      <c r="N82" s="18">
        <v>0</v>
      </c>
      <c r="O82" s="18">
        <v>0</v>
      </c>
      <c r="P82" s="18">
        <f>-$B$15*$B$11</f>
        <v>-5.8638196228487323E-2</v>
      </c>
      <c r="Q82" s="18">
        <f>1+2*$B$15*$B$11</f>
        <v>1.1172763924569746</v>
      </c>
      <c r="R82" s="18">
        <f>-$B$15*$B$11</f>
        <v>-5.8638196228487323E-2</v>
      </c>
      <c r="S82" s="18">
        <v>0</v>
      </c>
      <c r="T82" s="18">
        <v>0</v>
      </c>
      <c r="U82" s="18">
        <v>0</v>
      </c>
      <c r="V82" s="19">
        <v>0</v>
      </c>
      <c r="X82" s="17">
        <v>0</v>
      </c>
      <c r="Y82" s="18">
        <v>0</v>
      </c>
      <c r="Z82" s="18">
        <v>0</v>
      </c>
      <c r="AA82" s="18">
        <v>0</v>
      </c>
      <c r="AB82" s="18">
        <v>0</v>
      </c>
      <c r="AC82" s="18">
        <v>0</v>
      </c>
      <c r="AD82" s="18">
        <v>0</v>
      </c>
      <c r="AE82" s="18">
        <v>0</v>
      </c>
      <c r="AF82" s="18">
        <v>0</v>
      </c>
      <c r="AG82" s="18">
        <v>0</v>
      </c>
      <c r="AH82" s="18">
        <v>0</v>
      </c>
      <c r="AI82" s="18">
        <v>0</v>
      </c>
      <c r="AJ82" s="18">
        <f>$B$15*(1-$B$11)</f>
        <v>5.8638196228487323E-2</v>
      </c>
      <c r="AK82" s="18">
        <f>1-2*$B$15*(1-$B$11)</f>
        <v>0.88272360754302537</v>
      </c>
      <c r="AL82" s="18">
        <f>$B$15*(1-$B$11)</f>
        <v>5.8638196228487323E-2</v>
      </c>
      <c r="AM82" s="18">
        <v>0</v>
      </c>
      <c r="AN82" s="18">
        <v>0</v>
      </c>
      <c r="AO82" s="18">
        <v>0</v>
      </c>
      <c r="AP82" s="19">
        <v>0</v>
      </c>
    </row>
    <row r="83" spans="1:42" x14ac:dyDescent="0.2">
      <c r="A83" s="40">
        <f t="shared" si="34"/>
        <v>2.0000000000000618E-2</v>
      </c>
      <c r="B83" s="9">
        <v>2.981602698232555E-3</v>
      </c>
      <c r="D83" s="17">
        <v>0</v>
      </c>
      <c r="E83" s="18">
        <v>0</v>
      </c>
      <c r="F83" s="18">
        <v>0</v>
      </c>
      <c r="G83" s="18">
        <v>0</v>
      </c>
      <c r="H83" s="18">
        <v>0</v>
      </c>
      <c r="I83" s="18">
        <v>0</v>
      </c>
      <c r="J83" s="18">
        <v>0</v>
      </c>
      <c r="K83" s="18">
        <v>0</v>
      </c>
      <c r="L83" s="18">
        <v>0</v>
      </c>
      <c r="M83" s="18">
        <v>0</v>
      </c>
      <c r="N83" s="18">
        <v>0</v>
      </c>
      <c r="O83" s="18">
        <v>0</v>
      </c>
      <c r="P83" s="18">
        <v>0</v>
      </c>
      <c r="Q83" s="18">
        <f>-$B$15*$B$11</f>
        <v>-5.8638196228487323E-2</v>
      </c>
      <c r="R83" s="18">
        <f>1+2*$B$15*$B$11</f>
        <v>1.1172763924569746</v>
      </c>
      <c r="S83" s="18">
        <f>-$B$15*$B$11</f>
        <v>-5.8638196228487323E-2</v>
      </c>
      <c r="T83" s="18">
        <v>0</v>
      </c>
      <c r="U83" s="18">
        <v>0</v>
      </c>
      <c r="V83" s="19">
        <v>0</v>
      </c>
      <c r="X83" s="17">
        <v>0</v>
      </c>
      <c r="Y83" s="18">
        <v>0</v>
      </c>
      <c r="Z83" s="18">
        <v>0</v>
      </c>
      <c r="AA83" s="18">
        <v>0</v>
      </c>
      <c r="AB83" s="18">
        <v>0</v>
      </c>
      <c r="AC83" s="18">
        <v>0</v>
      </c>
      <c r="AD83" s="18">
        <v>0</v>
      </c>
      <c r="AE83" s="18">
        <v>0</v>
      </c>
      <c r="AF83" s="18">
        <v>0</v>
      </c>
      <c r="AG83" s="18">
        <v>0</v>
      </c>
      <c r="AH83" s="18">
        <v>0</v>
      </c>
      <c r="AI83" s="18">
        <v>0</v>
      </c>
      <c r="AJ83" s="18">
        <v>0</v>
      </c>
      <c r="AK83" s="18">
        <f>$B$15*(1-$B$11)</f>
        <v>5.8638196228487323E-2</v>
      </c>
      <c r="AL83" s="18">
        <f>1-2*$B$15*(1-$B$11)</f>
        <v>0.88272360754302537</v>
      </c>
      <c r="AM83" s="18">
        <f>$B$15*(1-$B$11)</f>
        <v>5.8638196228487323E-2</v>
      </c>
      <c r="AN83" s="18">
        <v>0</v>
      </c>
      <c r="AO83" s="18">
        <v>0</v>
      </c>
      <c r="AP83" s="19">
        <v>0</v>
      </c>
    </row>
    <row r="84" spans="1:42" x14ac:dyDescent="0.2">
      <c r="A84" s="40">
        <f t="shared" si="34"/>
        <v>4.0000000000000618E-2</v>
      </c>
      <c r="B84" s="9">
        <v>2.9125366580537992E-3</v>
      </c>
      <c r="D84" s="17">
        <v>0</v>
      </c>
      <c r="E84" s="18">
        <v>0</v>
      </c>
      <c r="F84" s="18">
        <v>0</v>
      </c>
      <c r="G84" s="18">
        <v>0</v>
      </c>
      <c r="H84" s="18">
        <v>0</v>
      </c>
      <c r="I84" s="18">
        <v>0</v>
      </c>
      <c r="J84" s="18">
        <v>0</v>
      </c>
      <c r="K84" s="18">
        <v>0</v>
      </c>
      <c r="L84" s="18">
        <v>0</v>
      </c>
      <c r="M84" s="18">
        <v>0</v>
      </c>
      <c r="N84" s="18">
        <v>0</v>
      </c>
      <c r="O84" s="18">
        <v>0</v>
      </c>
      <c r="P84" s="18">
        <v>0</v>
      </c>
      <c r="Q84" s="18">
        <v>0</v>
      </c>
      <c r="R84" s="18">
        <f>-$B$15*$B$11</f>
        <v>-5.8638196228487323E-2</v>
      </c>
      <c r="S84" s="18">
        <f>1+2*$B$15*$B$11</f>
        <v>1.1172763924569746</v>
      </c>
      <c r="T84" s="18">
        <f>-$B$15*$B$11</f>
        <v>-5.8638196228487323E-2</v>
      </c>
      <c r="U84" s="18">
        <v>0</v>
      </c>
      <c r="V84" s="19">
        <v>0</v>
      </c>
      <c r="X84" s="17">
        <v>0</v>
      </c>
      <c r="Y84" s="18">
        <v>0</v>
      </c>
      <c r="Z84" s="18">
        <v>0</v>
      </c>
      <c r="AA84" s="18">
        <v>0</v>
      </c>
      <c r="AB84" s="18">
        <v>0</v>
      </c>
      <c r="AC84" s="18">
        <v>0</v>
      </c>
      <c r="AD84" s="18">
        <v>0</v>
      </c>
      <c r="AE84" s="18">
        <v>0</v>
      </c>
      <c r="AF84" s="18">
        <v>0</v>
      </c>
      <c r="AG84" s="18">
        <v>0</v>
      </c>
      <c r="AH84" s="18">
        <v>0</v>
      </c>
      <c r="AI84" s="18">
        <v>0</v>
      </c>
      <c r="AJ84" s="18">
        <v>0</v>
      </c>
      <c r="AK84" s="18">
        <v>0</v>
      </c>
      <c r="AL84" s="18">
        <f>$B$15*(1-$B$11)</f>
        <v>5.8638196228487323E-2</v>
      </c>
      <c r="AM84" s="18">
        <f>1-2*$B$15*(1-$B$11)</f>
        <v>0.88272360754302537</v>
      </c>
      <c r="AN84" s="18">
        <f>$B$15*(1-$B$11)</f>
        <v>5.8638196228487323E-2</v>
      </c>
      <c r="AO84" s="18">
        <v>0</v>
      </c>
      <c r="AP84" s="19">
        <v>0</v>
      </c>
    </row>
    <row r="85" spans="1:42" x14ac:dyDescent="0.2">
      <c r="A85" s="40">
        <f t="shared" si="34"/>
        <v>6.0000000000000622E-2</v>
      </c>
      <c r="B85" s="9">
        <v>2.8435528782246866E-3</v>
      </c>
      <c r="D85" s="17">
        <v>0</v>
      </c>
      <c r="E85" s="18">
        <v>0</v>
      </c>
      <c r="F85" s="18">
        <v>0</v>
      </c>
      <c r="G85" s="18">
        <v>0</v>
      </c>
      <c r="H85" s="18">
        <v>0</v>
      </c>
      <c r="I85" s="18">
        <v>0</v>
      </c>
      <c r="J85" s="18">
        <v>0</v>
      </c>
      <c r="K85" s="18">
        <v>0</v>
      </c>
      <c r="L85" s="18">
        <v>0</v>
      </c>
      <c r="M85" s="18">
        <v>0</v>
      </c>
      <c r="N85" s="18">
        <v>0</v>
      </c>
      <c r="O85" s="18">
        <v>0</v>
      </c>
      <c r="P85" s="18">
        <v>0</v>
      </c>
      <c r="Q85" s="18">
        <v>0</v>
      </c>
      <c r="R85" s="18">
        <v>0</v>
      </c>
      <c r="S85" s="18">
        <f>-$B$15*$B$11</f>
        <v>-5.8638196228487323E-2</v>
      </c>
      <c r="T85" s="18">
        <f>1+2*$B$15*$B$11</f>
        <v>1.1172763924569746</v>
      </c>
      <c r="U85" s="18">
        <f>-$B$15*$B$11</f>
        <v>-5.8638196228487323E-2</v>
      </c>
      <c r="V85" s="19">
        <v>0</v>
      </c>
      <c r="X85" s="17">
        <v>0</v>
      </c>
      <c r="Y85" s="18">
        <v>0</v>
      </c>
      <c r="Z85" s="18">
        <v>0</v>
      </c>
      <c r="AA85" s="18">
        <v>0</v>
      </c>
      <c r="AB85" s="18">
        <v>0</v>
      </c>
      <c r="AC85" s="18">
        <v>0</v>
      </c>
      <c r="AD85" s="18">
        <v>0</v>
      </c>
      <c r="AE85" s="18">
        <v>0</v>
      </c>
      <c r="AF85" s="18">
        <v>0</v>
      </c>
      <c r="AG85" s="18">
        <v>0</v>
      </c>
      <c r="AH85" s="18">
        <v>0</v>
      </c>
      <c r="AI85" s="18">
        <v>0</v>
      </c>
      <c r="AJ85" s="18">
        <v>0</v>
      </c>
      <c r="AK85" s="18">
        <v>0</v>
      </c>
      <c r="AL85" s="18">
        <v>0</v>
      </c>
      <c r="AM85" s="18">
        <f>$B$15*(1-$B$11)</f>
        <v>5.8638196228487323E-2</v>
      </c>
      <c r="AN85" s="18">
        <f>1-2*$B$15*(1-$B$11)</f>
        <v>0.88272360754302537</v>
      </c>
      <c r="AO85" s="18">
        <f>$B$15*(1-$B$11)</f>
        <v>5.8638196228487323E-2</v>
      </c>
      <c r="AP85" s="19">
        <v>0</v>
      </c>
    </row>
    <row r="86" spans="1:42" x14ac:dyDescent="0.2">
      <c r="A86" s="40">
        <f t="shared" si="34"/>
        <v>8.0000000000000626E-2</v>
      </c>
      <c r="B86" s="9">
        <v>2.7746519440843276E-3</v>
      </c>
      <c r="D86" s="17">
        <v>0</v>
      </c>
      <c r="E86" s="18">
        <v>0</v>
      </c>
      <c r="F86" s="18">
        <v>0</v>
      </c>
      <c r="G86" s="18">
        <v>0</v>
      </c>
      <c r="H86" s="18">
        <v>0</v>
      </c>
      <c r="I86" s="18">
        <v>0</v>
      </c>
      <c r="J86" s="18">
        <v>0</v>
      </c>
      <c r="K86" s="18">
        <v>0</v>
      </c>
      <c r="L86" s="18">
        <v>0</v>
      </c>
      <c r="M86" s="18">
        <v>0</v>
      </c>
      <c r="N86" s="18">
        <v>0</v>
      </c>
      <c r="O86" s="18">
        <v>0</v>
      </c>
      <c r="P86" s="18">
        <v>0</v>
      </c>
      <c r="Q86" s="18">
        <v>0</v>
      </c>
      <c r="R86" s="18">
        <v>0</v>
      </c>
      <c r="S86" s="18">
        <v>0</v>
      </c>
      <c r="T86" s="18">
        <f>-$B$15*$B$11</f>
        <v>-5.8638196228487323E-2</v>
      </c>
      <c r="U86" s="18">
        <f>1+2*$B$15*$B$11</f>
        <v>1.1172763924569746</v>
      </c>
      <c r="V86" s="19">
        <f>-$B$15*$B$11</f>
        <v>-5.8638196228487323E-2</v>
      </c>
      <c r="X86" s="17">
        <v>0</v>
      </c>
      <c r="Y86" s="18">
        <v>0</v>
      </c>
      <c r="Z86" s="18">
        <v>0</v>
      </c>
      <c r="AA86" s="18">
        <v>0</v>
      </c>
      <c r="AB86" s="18">
        <v>0</v>
      </c>
      <c r="AC86" s="18">
        <v>0</v>
      </c>
      <c r="AD86" s="18">
        <v>0</v>
      </c>
      <c r="AE86" s="18">
        <v>0</v>
      </c>
      <c r="AF86" s="18">
        <v>0</v>
      </c>
      <c r="AG86" s="18">
        <v>0</v>
      </c>
      <c r="AH86" s="18">
        <v>0</v>
      </c>
      <c r="AI86" s="18">
        <v>0</v>
      </c>
      <c r="AJ86" s="18">
        <v>0</v>
      </c>
      <c r="AK86" s="18">
        <v>0</v>
      </c>
      <c r="AL86" s="18">
        <v>0</v>
      </c>
      <c r="AM86" s="18">
        <v>0</v>
      </c>
      <c r="AN86" s="18">
        <f>$B$15*(1-$B$11)</f>
        <v>5.8638196228487323E-2</v>
      </c>
      <c r="AO86" s="18">
        <f>1-2*$B$15*(1-$B$11)</f>
        <v>0.88272360754302537</v>
      </c>
      <c r="AP86" s="19">
        <f>$B$15*(1-$B$11)</f>
        <v>5.8638196228487323E-2</v>
      </c>
    </row>
    <row r="87" spans="1:42" x14ac:dyDescent="0.2">
      <c r="A87" s="40">
        <f t="shared" si="34"/>
        <v>0.10000000000000063</v>
      </c>
      <c r="B87" s="9">
        <v>2.7058344443966487E-3</v>
      </c>
      <c r="D87" s="20">
        <v>0</v>
      </c>
      <c r="E87" s="21">
        <v>0</v>
      </c>
      <c r="F87" s="21">
        <v>0</v>
      </c>
      <c r="G87" s="21">
        <v>0</v>
      </c>
      <c r="H87" s="21">
        <v>0</v>
      </c>
      <c r="I87" s="21">
        <v>0</v>
      </c>
      <c r="J87" s="21">
        <v>0</v>
      </c>
      <c r="K87" s="21">
        <v>0</v>
      </c>
      <c r="L87" s="21">
        <v>0</v>
      </c>
      <c r="M87" s="21">
        <v>0</v>
      </c>
      <c r="N87" s="21">
        <v>0</v>
      </c>
      <c r="O87" s="21">
        <v>0</v>
      </c>
      <c r="P87" s="21">
        <v>0</v>
      </c>
      <c r="Q87" s="21">
        <v>0</v>
      </c>
      <c r="R87" s="21">
        <v>0</v>
      </c>
      <c r="S87" s="21">
        <v>0</v>
      </c>
      <c r="T87" s="21">
        <v>0</v>
      </c>
      <c r="U87" s="21">
        <f>-$B$15*$B$11</f>
        <v>-5.8638196228487323E-2</v>
      </c>
      <c r="V87" s="22">
        <f>1+2*$B$15*$B$11</f>
        <v>1.1172763924569746</v>
      </c>
      <c r="X87" s="20">
        <v>0</v>
      </c>
      <c r="Y87" s="21">
        <v>0</v>
      </c>
      <c r="Z87" s="21">
        <v>0</v>
      </c>
      <c r="AA87" s="21">
        <v>0</v>
      </c>
      <c r="AB87" s="21">
        <v>0</v>
      </c>
      <c r="AC87" s="21">
        <v>0</v>
      </c>
      <c r="AD87" s="21">
        <v>0</v>
      </c>
      <c r="AE87" s="21">
        <v>0</v>
      </c>
      <c r="AF87" s="21">
        <v>0</v>
      </c>
      <c r="AG87" s="21">
        <v>0</v>
      </c>
      <c r="AH87" s="21">
        <v>0</v>
      </c>
      <c r="AI87" s="21">
        <v>0</v>
      </c>
      <c r="AJ87" s="21">
        <v>0</v>
      </c>
      <c r="AK87" s="21">
        <v>0</v>
      </c>
      <c r="AL87" s="21">
        <v>0</v>
      </c>
      <c r="AM87" s="21">
        <v>0</v>
      </c>
      <c r="AN87" s="21">
        <v>0</v>
      </c>
      <c r="AO87" s="21">
        <f>$B$15*(1-$B$11)</f>
        <v>5.8638196228487323E-2</v>
      </c>
      <c r="AP87" s="22">
        <f>1-2*$B$15*(1-$B$11)</f>
        <v>0.88272360754302537</v>
      </c>
    </row>
    <row r="88" spans="1:42" x14ac:dyDescent="0.2">
      <c r="A88" s="40">
        <f t="shared" si="34"/>
        <v>0.12000000000000063</v>
      </c>
      <c r="B88" s="9">
        <v>2.6371009711627647E-3</v>
      </c>
    </row>
    <row r="89" spans="1:42" x14ac:dyDescent="0.2">
      <c r="A89" s="40">
        <f t="shared" si="34"/>
        <v>0.14000000000000062</v>
      </c>
      <c r="B89" s="9">
        <v>2.5684521196522869E-3</v>
      </c>
      <c r="D89" s="4" t="s">
        <v>91</v>
      </c>
      <c r="X89" s="4" t="s">
        <v>93</v>
      </c>
    </row>
    <row r="90" spans="1:42" x14ac:dyDescent="0.2">
      <c r="A90" s="40">
        <f t="shared" si="34"/>
        <v>0.16000000000000061</v>
      </c>
      <c r="B90" s="9">
        <v>2.4998884882132533E-3</v>
      </c>
      <c r="D90" s="5" cm="1">
        <f t="array" ref="D90:V108">MINVERSE(D69:V87)</f>
        <v>0.89751270908077141</v>
      </c>
      <c r="E90" s="6">
        <v>4.7234771261686265E-2</v>
      </c>
      <c r="F90" s="6">
        <v>2.4858964041065568E-3</v>
      </c>
      <c r="G90" s="6">
        <v>1.3082906441345377E-4</v>
      </c>
      <c r="H90" s="6">
        <v>6.8853408641746268E-6</v>
      </c>
      <c r="I90" s="6">
        <v>3.6236534311712012E-7</v>
      </c>
      <c r="J90" s="6">
        <v>1.9070754009522622E-8</v>
      </c>
      <c r="K90" s="6">
        <v>1.0036656799548673E-9</v>
      </c>
      <c r="L90" s="6">
        <v>5.2821445686744595E-11</v>
      </c>
      <c r="M90" s="6">
        <v>2.7799148463093564E-12</v>
      </c>
      <c r="N90" s="6">
        <v>1.4630282174708577E-13</v>
      </c>
      <c r="O90" s="6">
        <v>7.6997019097820311E-15</v>
      </c>
      <c r="P90" s="6">
        <v>4.0522396486643222E-16</v>
      </c>
      <c r="Q90" s="6">
        <v>2.1326340113694103E-17</v>
      </c>
      <c r="R90" s="6">
        <v>1.1223738526787211E-18</v>
      </c>
      <c r="S90" s="6">
        <v>5.9068881879748861E-20</v>
      </c>
      <c r="T90" s="6">
        <v>3.1087081407570423E-21</v>
      </c>
      <c r="U90" s="6">
        <v>1.6360547666269747E-22</v>
      </c>
      <c r="V90" s="7">
        <v>8.5865324904122932E-24</v>
      </c>
      <c r="X90" s="5" cm="1">
        <f t="array" ref="X90:AP108">MMULT(_xlfn.ANCHORARRAY(D90),X69:AP87)</f>
        <v>0.79502541816154282</v>
      </c>
      <c r="Y90" s="6">
        <v>9.4469542523372543E-2</v>
      </c>
      <c r="Z90" s="6">
        <v>4.9717928082131128E-3</v>
      </c>
      <c r="AA90" s="6">
        <v>2.6165812882690754E-4</v>
      </c>
      <c r="AB90" s="6">
        <v>1.3770681728349254E-5</v>
      </c>
      <c r="AC90" s="6">
        <v>7.2473068623424035E-7</v>
      </c>
      <c r="AD90" s="6">
        <v>3.8141508019045245E-8</v>
      </c>
      <c r="AE90" s="6">
        <v>2.0073313599097345E-9</v>
      </c>
      <c r="AF90" s="6">
        <v>1.056428913734892E-10</v>
      </c>
      <c r="AG90" s="6">
        <v>5.5598296926187119E-12</v>
      </c>
      <c r="AH90" s="6">
        <v>2.9260564349417164E-13</v>
      </c>
      <c r="AI90" s="6">
        <v>1.5399403819564056E-14</v>
      </c>
      <c r="AJ90" s="6">
        <v>8.1044792973286484E-16</v>
      </c>
      <c r="AK90" s="6">
        <v>4.2652680227388193E-17</v>
      </c>
      <c r="AL90" s="6">
        <v>2.2447477053574422E-18</v>
      </c>
      <c r="AM90" s="6">
        <v>1.1813776375949772E-19</v>
      </c>
      <c r="AN90" s="6">
        <v>6.2174162815140824E-21</v>
      </c>
      <c r="AO90" s="6">
        <v>3.2721095332539509E-22</v>
      </c>
      <c r="AP90" s="7">
        <v>1.7173064980824595E-23</v>
      </c>
    </row>
    <row r="91" spans="1:42" x14ac:dyDescent="0.2">
      <c r="A91" s="40">
        <f t="shared" si="34"/>
        <v>0.1800000000000006</v>
      </c>
      <c r="B91" s="9">
        <v>2.4314106782206135E-3</v>
      </c>
      <c r="D91" s="8">
        <v>4.7234771261686272E-2</v>
      </c>
      <c r="E91" s="1">
        <v>0.89999860548487787</v>
      </c>
      <c r="F91" s="1">
        <v>4.7365600326099731E-2</v>
      </c>
      <c r="G91" s="1">
        <v>2.4927817449707313E-3</v>
      </c>
      <c r="H91" s="1">
        <v>1.3119142975657089E-4</v>
      </c>
      <c r="I91" s="1">
        <v>6.9044116181841483E-6</v>
      </c>
      <c r="J91" s="1">
        <v>3.63369008797075E-7</v>
      </c>
      <c r="K91" s="1">
        <v>1.9123575455209366E-8</v>
      </c>
      <c r="L91" s="1">
        <v>1.0064455948011765E-9</v>
      </c>
      <c r="M91" s="1">
        <v>5.2967748508491696E-11</v>
      </c>
      <c r="N91" s="1">
        <v>2.7876145482191374E-12</v>
      </c>
      <c r="O91" s="1">
        <v>1.4670804571195227E-13</v>
      </c>
      <c r="P91" s="1">
        <v>7.7210282498957192E-15</v>
      </c>
      <c r="Q91" s="1">
        <v>4.0634633871911112E-16</v>
      </c>
      <c r="R91" s="1">
        <v>2.138540899557385E-17</v>
      </c>
      <c r="S91" s="1">
        <v>1.1254825608194781E-18</v>
      </c>
      <c r="T91" s="1">
        <v>5.9232487356411593E-20</v>
      </c>
      <c r="U91" s="1">
        <v>3.1172946732474525E-21</v>
      </c>
      <c r="V91" s="9">
        <v>1.6360547666269731E-22</v>
      </c>
      <c r="X91" s="8">
        <v>9.4469542523372529E-2</v>
      </c>
      <c r="Y91" s="1">
        <v>0.79999721096975585</v>
      </c>
      <c r="Z91" s="1">
        <v>9.4731200652199449E-2</v>
      </c>
      <c r="AA91" s="1">
        <v>4.9855634899414625E-3</v>
      </c>
      <c r="AB91" s="1">
        <v>2.6238285951314178E-4</v>
      </c>
      <c r="AC91" s="1">
        <v>1.3808823236368298E-5</v>
      </c>
      <c r="AD91" s="1">
        <v>7.2673801759415E-7</v>
      </c>
      <c r="AE91" s="1">
        <v>3.8247150910418732E-8</v>
      </c>
      <c r="AF91" s="1">
        <v>2.012891189602353E-9</v>
      </c>
      <c r="AG91" s="1">
        <v>1.0593549701698338E-10</v>
      </c>
      <c r="AH91" s="1">
        <v>5.5752290964382764E-12</v>
      </c>
      <c r="AI91" s="1">
        <v>2.9341609142390445E-13</v>
      </c>
      <c r="AJ91" s="1">
        <v>1.5442056499791445E-14</v>
      </c>
      <c r="AK91" s="1">
        <v>8.1269267743822204E-16</v>
      </c>
      <c r="AL91" s="1">
        <v>4.27708179911477E-17</v>
      </c>
      <c r="AM91" s="1">
        <v>2.2509651216389561E-18</v>
      </c>
      <c r="AN91" s="1">
        <v>1.1846497471282314E-19</v>
      </c>
      <c r="AO91" s="1">
        <v>6.2345893464949073E-21</v>
      </c>
      <c r="AP91" s="9">
        <v>3.272109533253948E-22</v>
      </c>
    </row>
    <row r="92" spans="1:42" x14ac:dyDescent="0.2">
      <c r="A92" s="40">
        <f t="shared" si="34"/>
        <v>0.20000000000000059</v>
      </c>
      <c r="B92" s="9">
        <v>2.3630192940018446E-3</v>
      </c>
      <c r="D92" s="8">
        <v>2.4858964041065568E-3</v>
      </c>
      <c r="E92" s="1">
        <v>4.7365600326099731E-2</v>
      </c>
      <c r="F92" s="1">
        <v>0.90000549082574222</v>
      </c>
      <c r="G92" s="1">
        <v>4.7365962691442852E-2</v>
      </c>
      <c r="H92" s="1">
        <v>2.4928008157247411E-3</v>
      </c>
      <c r="I92" s="1">
        <v>1.3119243342225084E-4</v>
      </c>
      <c r="J92" s="1">
        <v>6.9044644396298359E-6</v>
      </c>
      <c r="K92" s="1">
        <v>3.6337178871192127E-7</v>
      </c>
      <c r="L92" s="1">
        <v>1.9123721758031113E-8</v>
      </c>
      <c r="M92" s="1">
        <v>1.0064532945030864E-9</v>
      </c>
      <c r="N92" s="1">
        <v>5.2968153732456541E-11</v>
      </c>
      <c r="O92" s="1">
        <v>2.7876358745592521E-12</v>
      </c>
      <c r="P92" s="1">
        <v>1.4670916808580485E-13</v>
      </c>
      <c r="Q92" s="1">
        <v>7.7210873187776023E-15</v>
      </c>
      <c r="R92" s="1">
        <v>4.0634944742725183E-16</v>
      </c>
      <c r="S92" s="1">
        <v>2.1385572601050512E-17</v>
      </c>
      <c r="T92" s="1">
        <v>1.1254911473519691E-18</v>
      </c>
      <c r="U92" s="1">
        <v>5.9232487356411557E-20</v>
      </c>
      <c r="V92" s="9">
        <v>3.1087081407570374E-21</v>
      </c>
      <c r="X92" s="8">
        <v>4.9717928082131137E-3</v>
      </c>
      <c r="Y92" s="1">
        <v>9.4731200652199463E-2</v>
      </c>
      <c r="Z92" s="1">
        <v>0.80001098165148432</v>
      </c>
      <c r="AA92" s="1">
        <v>9.4731925382885704E-2</v>
      </c>
      <c r="AB92" s="1">
        <v>4.9856016314494822E-3</v>
      </c>
      <c r="AC92" s="1">
        <v>2.6238486684450167E-4</v>
      </c>
      <c r="AD92" s="1">
        <v>1.380892887925967E-5</v>
      </c>
      <c r="AE92" s="1">
        <v>7.2674357742384254E-7</v>
      </c>
      <c r="AF92" s="1">
        <v>3.8247443516062225E-8</v>
      </c>
      <c r="AG92" s="1">
        <v>2.0129065890061728E-9</v>
      </c>
      <c r="AH92" s="1">
        <v>1.0593630746491311E-10</v>
      </c>
      <c r="AI92" s="1">
        <v>5.5752717491185035E-12</v>
      </c>
      <c r="AJ92" s="1">
        <v>2.9341833617160981E-13</v>
      </c>
      <c r="AK92" s="1">
        <v>1.5442174637555202E-14</v>
      </c>
      <c r="AL92" s="1">
        <v>8.1269889485450375E-16</v>
      </c>
      <c r="AM92" s="1">
        <v>4.2771145202101024E-17</v>
      </c>
      <c r="AN92" s="1">
        <v>2.2509822947039375E-18</v>
      </c>
      <c r="AO92" s="1">
        <v>1.1846497471282314E-19</v>
      </c>
      <c r="AP92" s="9">
        <v>6.2174162815140779E-21</v>
      </c>
    </row>
    <row r="93" spans="1:42" x14ac:dyDescent="0.2">
      <c r="A93" s="40">
        <f t="shared" si="34"/>
        <v>0.22000000000000058</v>
      </c>
      <c r="B93" s="9">
        <v>2.2947149426173485E-3</v>
      </c>
      <c r="D93" s="8">
        <v>1.3082906441345377E-4</v>
      </c>
      <c r="E93" s="1">
        <v>2.4927817449707313E-3</v>
      </c>
      <c r="F93" s="1">
        <v>4.7365962691442852E-2</v>
      </c>
      <c r="G93" s="1">
        <v>0.90000550989649619</v>
      </c>
      <c r="H93" s="1">
        <v>4.736596369510853E-2</v>
      </c>
      <c r="I93" s="1">
        <v>2.4928008685461862E-3</v>
      </c>
      <c r="J93" s="1">
        <v>1.3119243620216567E-4</v>
      </c>
      <c r="K93" s="1">
        <v>6.9044645859326556E-6</v>
      </c>
      <c r="L93" s="1">
        <v>3.6337179641162319E-7</v>
      </c>
      <c r="M93" s="1">
        <v>1.9123722163255076E-8</v>
      </c>
      <c r="N93" s="1">
        <v>1.0064533158294262E-9</v>
      </c>
      <c r="O93" s="1">
        <v>5.296815485483041E-11</v>
      </c>
      <c r="P93" s="1">
        <v>2.7876359336281324E-12</v>
      </c>
      <c r="Q93" s="1">
        <v>1.4670917119451305E-13</v>
      </c>
      <c r="R93" s="1">
        <v>7.7210874823830769E-15</v>
      </c>
      <c r="S93" s="1">
        <v>4.0634945601378427E-16</v>
      </c>
      <c r="T93" s="1">
        <v>2.1385572601050521E-17</v>
      </c>
      <c r="U93" s="1">
        <v>1.1254825608194777E-18</v>
      </c>
      <c r="V93" s="9">
        <v>5.90688818797488E-20</v>
      </c>
      <c r="X93" s="8">
        <v>2.6165812882690754E-4</v>
      </c>
      <c r="Y93" s="1">
        <v>4.9855634899414625E-3</v>
      </c>
      <c r="Z93" s="1">
        <v>9.473192538288569E-2</v>
      </c>
      <c r="AA93" s="1">
        <v>0.80001101979299227</v>
      </c>
      <c r="AB93" s="1">
        <v>9.4731927390217061E-2</v>
      </c>
      <c r="AC93" s="1">
        <v>4.9856017370923733E-3</v>
      </c>
      <c r="AD93" s="1">
        <v>2.6238487240433134E-4</v>
      </c>
      <c r="AE93" s="1">
        <v>1.3808929171865313E-5</v>
      </c>
      <c r="AF93" s="1">
        <v>7.2674359282324627E-7</v>
      </c>
      <c r="AG93" s="1">
        <v>3.8247444326510152E-8</v>
      </c>
      <c r="AH93" s="1">
        <v>2.0129066316588527E-9</v>
      </c>
      <c r="AI93" s="1">
        <v>1.0593630970966079E-10</v>
      </c>
      <c r="AJ93" s="1">
        <v>5.5752718672562673E-12</v>
      </c>
      <c r="AK93" s="1">
        <v>2.9341834238902604E-13</v>
      </c>
      <c r="AL93" s="1">
        <v>1.5442174964766157E-14</v>
      </c>
      <c r="AM93" s="1">
        <v>8.1269891202756863E-16</v>
      </c>
      <c r="AN93" s="1">
        <v>4.277114520210103E-17</v>
      </c>
      <c r="AO93" s="1">
        <v>2.2509651216389565E-18</v>
      </c>
      <c r="AP93" s="9">
        <v>1.1813776375949765E-19</v>
      </c>
    </row>
    <row r="94" spans="1:42" x14ac:dyDescent="0.2">
      <c r="A94" s="40">
        <f t="shared" si="34"/>
        <v>0.24000000000000057</v>
      </c>
      <c r="B94" s="9">
        <v>2.2264982338564554E-3</v>
      </c>
      <c r="D94" s="8">
        <v>6.8853408641746277E-6</v>
      </c>
      <c r="E94" s="1">
        <v>1.3119142975657092E-4</v>
      </c>
      <c r="F94" s="1">
        <v>2.4928008157247411E-3</v>
      </c>
      <c r="G94" s="1">
        <v>4.7365963695108537E-2</v>
      </c>
      <c r="H94" s="1">
        <v>0.90000550994931761</v>
      </c>
      <c r="I94" s="1">
        <v>4.7365963697888439E-2</v>
      </c>
      <c r="J94" s="1">
        <v>2.4928008686924889E-3</v>
      </c>
      <c r="K94" s="1">
        <v>1.3119243620986535E-4</v>
      </c>
      <c r="L94" s="1">
        <v>6.9044645863378804E-6</v>
      </c>
      <c r="M94" s="1">
        <v>3.6337179643294952E-7</v>
      </c>
      <c r="N94" s="1">
        <v>1.9123722164377444E-8</v>
      </c>
      <c r="O94" s="1">
        <v>1.0064533158884953E-9</v>
      </c>
      <c r="P94" s="1">
        <v>5.2968154857939097E-11</v>
      </c>
      <c r="Q94" s="1">
        <v>2.7876359337917385E-12</v>
      </c>
      <c r="R94" s="1">
        <v>1.4670917120309954E-13</v>
      </c>
      <c r="S94" s="1">
        <v>7.7210874823830769E-15</v>
      </c>
      <c r="T94" s="1">
        <v>4.0634944742725202E-16</v>
      </c>
      <c r="U94" s="1">
        <v>2.1385408995573841E-17</v>
      </c>
      <c r="V94" s="9">
        <v>1.1223738526787199E-18</v>
      </c>
      <c r="X94" s="8">
        <v>1.3770681728349257E-5</v>
      </c>
      <c r="Y94" s="1">
        <v>2.6238285951314178E-4</v>
      </c>
      <c r="Z94" s="1">
        <v>4.9856016314494822E-3</v>
      </c>
      <c r="AA94" s="1">
        <v>9.4731927390217074E-2</v>
      </c>
      <c r="AB94" s="1">
        <v>0.8000110198986351</v>
      </c>
      <c r="AC94" s="1">
        <v>9.4731927395776877E-2</v>
      </c>
      <c r="AD94" s="1">
        <v>4.9856017373849778E-3</v>
      </c>
      <c r="AE94" s="1">
        <v>2.6238487241973075E-4</v>
      </c>
      <c r="AF94" s="1">
        <v>1.3808929172675761E-5</v>
      </c>
      <c r="AG94" s="1">
        <v>7.2674359286589903E-7</v>
      </c>
      <c r="AH94" s="1">
        <v>3.8247444328754889E-8</v>
      </c>
      <c r="AI94" s="1">
        <v>2.0129066317769902E-9</v>
      </c>
      <c r="AJ94" s="1">
        <v>1.0593630971587822E-10</v>
      </c>
      <c r="AK94" s="1">
        <v>5.5752718675834762E-12</v>
      </c>
      <c r="AL94" s="1">
        <v>2.9341834240619913E-13</v>
      </c>
      <c r="AM94" s="1">
        <v>1.5442174964766157E-14</v>
      </c>
      <c r="AN94" s="1">
        <v>8.1269889485450385E-16</v>
      </c>
      <c r="AO94" s="1">
        <v>4.27708179911477E-17</v>
      </c>
      <c r="AP94" s="9">
        <v>2.2447477053574407E-18</v>
      </c>
    </row>
    <row r="95" spans="1:42" x14ac:dyDescent="0.2">
      <c r="A95" s="40">
        <f t="shared" si="34"/>
        <v>0.26000000000000056</v>
      </c>
      <c r="B95" s="9">
        <v>2.1583697800329205E-3</v>
      </c>
      <c r="D95" s="8">
        <v>3.6236534311712023E-7</v>
      </c>
      <c r="E95" s="1">
        <v>6.9044116181841508E-6</v>
      </c>
      <c r="F95" s="1">
        <v>1.3119243342225086E-4</v>
      </c>
      <c r="G95" s="1">
        <v>2.4928008685461867E-3</v>
      </c>
      <c r="H95" s="1">
        <v>4.7365963697888445E-2</v>
      </c>
      <c r="I95" s="1">
        <v>0.90000550994946382</v>
      </c>
      <c r="J95" s="1">
        <v>4.7365963697896134E-2</v>
      </c>
      <c r="K95" s="1">
        <v>2.4928008686928935E-3</v>
      </c>
      <c r="L95" s="1">
        <v>1.3119243620988668E-4</v>
      </c>
      <c r="M95" s="1">
        <v>6.9044645863390018E-6</v>
      </c>
      <c r="N95" s="1">
        <v>3.6337179643300849E-7</v>
      </c>
      <c r="O95" s="1">
        <v>1.9123722164380554E-8</v>
      </c>
      <c r="P95" s="1">
        <v>1.0064533158886585E-9</v>
      </c>
      <c r="Q95" s="1">
        <v>5.2968154857947686E-11</v>
      </c>
      <c r="R95" s="1">
        <v>2.7876359337917377E-12</v>
      </c>
      <c r="S95" s="1">
        <v>1.46709171194513E-13</v>
      </c>
      <c r="T95" s="1">
        <v>7.7210873187776039E-15</v>
      </c>
      <c r="U95" s="1">
        <v>4.0634633871911087E-16</v>
      </c>
      <c r="V95" s="9">
        <v>2.1326340113694078E-17</v>
      </c>
      <c r="X95" s="8">
        <v>7.2473068623424056E-7</v>
      </c>
      <c r="Y95" s="1">
        <v>1.38088232363683E-5</v>
      </c>
      <c r="Z95" s="1">
        <v>2.6238486684450172E-4</v>
      </c>
      <c r="AA95" s="1">
        <v>4.9856017370923733E-3</v>
      </c>
      <c r="AB95" s="1">
        <v>9.4731927395776877E-2</v>
      </c>
      <c r="AC95" s="1">
        <v>0.80001101989892776</v>
      </c>
      <c r="AD95" s="1">
        <v>9.4731927395792268E-2</v>
      </c>
      <c r="AE95" s="1">
        <v>4.9856017373857879E-3</v>
      </c>
      <c r="AF95" s="1">
        <v>2.6238487241977331E-4</v>
      </c>
      <c r="AG95" s="1">
        <v>1.3808929172678004E-5</v>
      </c>
      <c r="AH95" s="1">
        <v>7.2674359286601709E-7</v>
      </c>
      <c r="AI95" s="1">
        <v>3.8247444328761109E-8</v>
      </c>
      <c r="AJ95" s="1">
        <v>2.012906631777317E-9</v>
      </c>
      <c r="AK95" s="1">
        <v>1.0593630971589537E-10</v>
      </c>
      <c r="AL95" s="1">
        <v>5.5752718675834762E-12</v>
      </c>
      <c r="AM95" s="1">
        <v>2.9341834238902599E-13</v>
      </c>
      <c r="AN95" s="1">
        <v>1.5442174637555202E-14</v>
      </c>
      <c r="AO95" s="1">
        <v>8.1269267743822224E-16</v>
      </c>
      <c r="AP95" s="9">
        <v>4.2652680227388168E-17</v>
      </c>
    </row>
    <row r="96" spans="1:42" x14ac:dyDescent="0.2">
      <c r="A96" s="40">
        <f>A95+0.02</f>
        <v>0.28000000000000058</v>
      </c>
      <c r="B96" s="9">
        <v>2.090330195904988E-3</v>
      </c>
      <c r="D96" s="8">
        <v>1.9070754009522626E-8</v>
      </c>
      <c r="E96" s="1">
        <v>3.6336900879707511E-7</v>
      </c>
      <c r="F96" s="1">
        <v>6.9044644396298351E-6</v>
      </c>
      <c r="G96" s="1">
        <v>1.3119243620216567E-4</v>
      </c>
      <c r="H96" s="1">
        <v>2.4928008686924889E-3</v>
      </c>
      <c r="I96" s="1">
        <v>4.7365963697896134E-2</v>
      </c>
      <c r="J96" s="1">
        <v>0.90000550994946416</v>
      </c>
      <c r="K96" s="1">
        <v>4.7365963697896148E-2</v>
      </c>
      <c r="L96" s="1">
        <v>2.4928008686928948E-3</v>
      </c>
      <c r="M96" s="1">
        <v>1.3119243620988673E-4</v>
      </c>
      <c r="N96" s="1">
        <v>6.9044645863390044E-6</v>
      </c>
      <c r="O96" s="1">
        <v>3.6337179643300865E-7</v>
      </c>
      <c r="P96" s="1">
        <v>1.9123722164380561E-8</v>
      </c>
      <c r="Q96" s="1">
        <v>1.0064533158886587E-9</v>
      </c>
      <c r="R96" s="1">
        <v>5.2968154857939091E-11</v>
      </c>
      <c r="S96" s="1">
        <v>2.7876359336281324E-12</v>
      </c>
      <c r="T96" s="1">
        <v>1.4670916808580493E-13</v>
      </c>
      <c r="U96" s="1">
        <v>7.7210282498957176E-15</v>
      </c>
      <c r="V96" s="9">
        <v>4.0522396486643198E-16</v>
      </c>
      <c r="X96" s="8">
        <v>3.8141508019045258E-8</v>
      </c>
      <c r="Y96" s="1">
        <v>7.2673801759415011E-7</v>
      </c>
      <c r="Z96" s="1">
        <v>1.380892887925967E-5</v>
      </c>
      <c r="AA96" s="1">
        <v>2.6238487240433134E-4</v>
      </c>
      <c r="AB96" s="1">
        <v>4.985601737384977E-3</v>
      </c>
      <c r="AC96" s="1">
        <v>9.4731927395792268E-2</v>
      </c>
      <c r="AD96" s="1">
        <v>0.80001101989892864</v>
      </c>
      <c r="AE96" s="1">
        <v>9.4731927395792295E-2</v>
      </c>
      <c r="AF96" s="1">
        <v>4.9856017373857897E-3</v>
      </c>
      <c r="AG96" s="1">
        <v>2.6238487241977347E-4</v>
      </c>
      <c r="AH96" s="1">
        <v>1.3808929172678009E-5</v>
      </c>
      <c r="AI96" s="1">
        <v>7.2674359286601741E-7</v>
      </c>
      <c r="AJ96" s="1">
        <v>3.8247444328761122E-8</v>
      </c>
      <c r="AK96" s="1">
        <v>2.012906631777317E-9</v>
      </c>
      <c r="AL96" s="1">
        <v>1.0593630971587819E-10</v>
      </c>
      <c r="AM96" s="1">
        <v>5.5752718672562649E-12</v>
      </c>
      <c r="AN96" s="1">
        <v>2.9341833617160976E-13</v>
      </c>
      <c r="AO96" s="1">
        <v>1.5442056499791441E-14</v>
      </c>
      <c r="AP96" s="9">
        <v>8.1044792973286415E-16</v>
      </c>
    </row>
    <row r="97" spans="1:42" x14ac:dyDescent="0.2">
      <c r="A97" s="40">
        <f t="shared" si="34"/>
        <v>0.3000000000000006</v>
      </c>
      <c r="B97" s="9">
        <v>2.022380098473997E-3</v>
      </c>
      <c r="D97" s="8">
        <v>1.0036656799548675E-9</v>
      </c>
      <c r="E97" s="1">
        <v>1.9123575455209369E-8</v>
      </c>
      <c r="F97" s="1">
        <v>3.6337178871192132E-7</v>
      </c>
      <c r="G97" s="1">
        <v>6.9044645859326564E-6</v>
      </c>
      <c r="H97" s="1">
        <v>1.3119243620986538E-4</v>
      </c>
      <c r="I97" s="1">
        <v>2.4928008686928935E-3</v>
      </c>
      <c r="J97" s="1">
        <v>4.7365963697896148E-2</v>
      </c>
      <c r="K97" s="1">
        <v>0.90000550994946416</v>
      </c>
      <c r="L97" s="1">
        <v>4.7365963697896148E-2</v>
      </c>
      <c r="M97" s="1">
        <v>2.4928008686928948E-3</v>
      </c>
      <c r="N97" s="1">
        <v>1.3119243620988673E-4</v>
      </c>
      <c r="O97" s="1">
        <v>6.9044645863390044E-6</v>
      </c>
      <c r="P97" s="1">
        <v>3.6337179643300865E-7</v>
      </c>
      <c r="Q97" s="1">
        <v>1.9123722164380554E-8</v>
      </c>
      <c r="R97" s="1">
        <v>1.0064533158884949E-9</v>
      </c>
      <c r="S97" s="1">
        <v>5.2968154854830384E-11</v>
      </c>
      <c r="T97" s="1">
        <v>2.7876358745592517E-12</v>
      </c>
      <c r="U97" s="1">
        <v>1.4670804571195215E-13</v>
      </c>
      <c r="V97" s="9">
        <v>7.6997019097820217E-15</v>
      </c>
      <c r="X97" s="8">
        <v>2.0073313599097349E-9</v>
      </c>
      <c r="Y97" s="1">
        <v>3.8247150910418739E-8</v>
      </c>
      <c r="Z97" s="1">
        <v>7.2674357742384265E-7</v>
      </c>
      <c r="AA97" s="1">
        <v>1.3808929171865311E-5</v>
      </c>
      <c r="AB97" s="1">
        <v>2.623848724197307E-4</v>
      </c>
      <c r="AC97" s="1">
        <v>4.9856017373857871E-3</v>
      </c>
      <c r="AD97" s="1">
        <v>9.4731927395792309E-2</v>
      </c>
      <c r="AE97" s="1">
        <v>0.80001101989892864</v>
      </c>
      <c r="AF97" s="1">
        <v>9.4731927395792295E-2</v>
      </c>
      <c r="AG97" s="1">
        <v>4.9856017373857897E-3</v>
      </c>
      <c r="AH97" s="1">
        <v>2.6238487241977347E-4</v>
      </c>
      <c r="AI97" s="1">
        <v>1.3808929172678009E-5</v>
      </c>
      <c r="AJ97" s="1">
        <v>7.2674359286601741E-7</v>
      </c>
      <c r="AK97" s="1">
        <v>3.8247444328761109E-8</v>
      </c>
      <c r="AL97" s="1">
        <v>2.0129066317769902E-9</v>
      </c>
      <c r="AM97" s="1">
        <v>1.0593630970966077E-10</v>
      </c>
      <c r="AN97" s="1">
        <v>5.5752717491185019E-12</v>
      </c>
      <c r="AO97" s="1">
        <v>2.934160914239044E-13</v>
      </c>
      <c r="AP97" s="9">
        <v>1.5399403819564046E-14</v>
      </c>
    </row>
    <row r="98" spans="1:42" x14ac:dyDescent="0.2">
      <c r="A98" s="40">
        <f t="shared" ref="A98:A116" si="37">A97+0.02</f>
        <v>0.32000000000000062</v>
      </c>
      <c r="B98" s="9">
        <v>1.9545201068895679E-3</v>
      </c>
      <c r="D98" s="8">
        <v>5.2821445686744608E-11</v>
      </c>
      <c r="E98" s="1">
        <v>1.0064455948011767E-9</v>
      </c>
      <c r="F98" s="1">
        <v>1.9123721758031109E-8</v>
      </c>
      <c r="G98" s="1">
        <v>3.6337179641162313E-7</v>
      </c>
      <c r="H98" s="1">
        <v>6.9044645863378778E-6</v>
      </c>
      <c r="I98" s="1">
        <v>1.3119243620988665E-4</v>
      </c>
      <c r="J98" s="1">
        <v>2.4928008686928948E-3</v>
      </c>
      <c r="K98" s="1">
        <v>4.7365963697896148E-2</v>
      </c>
      <c r="L98" s="1">
        <v>0.90000550994946416</v>
      </c>
      <c r="M98" s="1">
        <v>4.7365963697896148E-2</v>
      </c>
      <c r="N98" s="1">
        <v>2.4928008686928948E-3</v>
      </c>
      <c r="O98" s="1">
        <v>1.3119243620988673E-4</v>
      </c>
      <c r="P98" s="1">
        <v>6.9044645863390044E-6</v>
      </c>
      <c r="Q98" s="1">
        <v>3.6337179643300854E-7</v>
      </c>
      <c r="R98" s="1">
        <v>1.9123722164377444E-8</v>
      </c>
      <c r="S98" s="1">
        <v>1.0064533158294262E-9</v>
      </c>
      <c r="T98" s="1">
        <v>5.296815373245656E-11</v>
      </c>
      <c r="U98" s="1">
        <v>2.7876145482191366E-12</v>
      </c>
      <c r="V98" s="9">
        <v>1.4630282174708569E-13</v>
      </c>
      <c r="X98" s="8">
        <v>1.0564289137348922E-10</v>
      </c>
      <c r="Y98" s="1">
        <v>2.012891189602353E-9</v>
      </c>
      <c r="Z98" s="1">
        <v>3.8247443516062219E-8</v>
      </c>
      <c r="AA98" s="1">
        <v>7.2674359282324627E-7</v>
      </c>
      <c r="AB98" s="1">
        <v>1.3808929172675756E-5</v>
      </c>
      <c r="AC98" s="1">
        <v>2.6238487241977331E-4</v>
      </c>
      <c r="AD98" s="1">
        <v>4.9856017373857897E-3</v>
      </c>
      <c r="AE98" s="1">
        <v>9.4731927395792309E-2</v>
      </c>
      <c r="AF98" s="1">
        <v>0.80001101989892864</v>
      </c>
      <c r="AG98" s="1">
        <v>9.4731927395792295E-2</v>
      </c>
      <c r="AH98" s="1">
        <v>4.9856017373857897E-3</v>
      </c>
      <c r="AI98" s="1">
        <v>2.6238487241977347E-4</v>
      </c>
      <c r="AJ98" s="1">
        <v>1.3808929172678009E-5</v>
      </c>
      <c r="AK98" s="1">
        <v>7.2674359286601698E-7</v>
      </c>
      <c r="AL98" s="1">
        <v>3.8247444328754895E-8</v>
      </c>
      <c r="AM98" s="1">
        <v>2.0129066316588523E-9</v>
      </c>
      <c r="AN98" s="1">
        <v>1.0593630746491309E-10</v>
      </c>
      <c r="AO98" s="1">
        <v>5.5752290964382755E-12</v>
      </c>
      <c r="AP98" s="9">
        <v>2.9260564349417144E-13</v>
      </c>
    </row>
    <row r="99" spans="1:42" x14ac:dyDescent="0.2">
      <c r="A99" s="40">
        <f t="shared" si="37"/>
        <v>0.34000000000000064</v>
      </c>
      <c r="B99" s="9">
        <v>1.8867508422766299E-3</v>
      </c>
      <c r="D99" s="8">
        <v>2.779914846309356E-12</v>
      </c>
      <c r="E99" s="1">
        <v>5.2967748508491689E-11</v>
      </c>
      <c r="F99" s="1">
        <v>1.006453294503086E-9</v>
      </c>
      <c r="G99" s="1">
        <v>1.9123722163255073E-8</v>
      </c>
      <c r="H99" s="1">
        <v>3.6337179643294936E-7</v>
      </c>
      <c r="I99" s="1">
        <v>6.9044645863389985E-6</v>
      </c>
      <c r="J99" s="1">
        <v>1.3119243620988671E-4</v>
      </c>
      <c r="K99" s="1">
        <v>2.4928008686928948E-3</v>
      </c>
      <c r="L99" s="1">
        <v>4.7365963697896148E-2</v>
      </c>
      <c r="M99" s="1">
        <v>0.90000550994946416</v>
      </c>
      <c r="N99" s="1">
        <v>4.7365963697896148E-2</v>
      </c>
      <c r="O99" s="1">
        <v>2.4928008686928948E-3</v>
      </c>
      <c r="P99" s="1">
        <v>1.3119243620988673E-4</v>
      </c>
      <c r="Q99" s="1">
        <v>6.9044645863390018E-6</v>
      </c>
      <c r="R99" s="1">
        <v>3.6337179643294946E-7</v>
      </c>
      <c r="S99" s="1">
        <v>1.9123722163255073E-8</v>
      </c>
      <c r="T99" s="1">
        <v>1.0064532945030864E-9</v>
      </c>
      <c r="U99" s="1">
        <v>5.2967748508491663E-11</v>
      </c>
      <c r="V99" s="9">
        <v>2.779914846309354E-12</v>
      </c>
      <c r="X99" s="8">
        <v>5.5598296926187119E-12</v>
      </c>
      <c r="Y99" s="1">
        <v>1.0593549701698337E-10</v>
      </c>
      <c r="Z99" s="1">
        <v>2.012906589006172E-9</v>
      </c>
      <c r="AA99" s="1">
        <v>3.8247444326510139E-8</v>
      </c>
      <c r="AB99" s="1">
        <v>7.2674359286589861E-7</v>
      </c>
      <c r="AC99" s="1">
        <v>1.3808929172677999E-5</v>
      </c>
      <c r="AD99" s="1">
        <v>2.6238487241977341E-4</v>
      </c>
      <c r="AE99" s="1">
        <v>4.9856017373857897E-3</v>
      </c>
      <c r="AF99" s="1">
        <v>9.4731927395792309E-2</v>
      </c>
      <c r="AG99" s="1">
        <v>0.80001101989892864</v>
      </c>
      <c r="AH99" s="1">
        <v>9.4731927395792295E-2</v>
      </c>
      <c r="AI99" s="1">
        <v>4.9856017373857897E-3</v>
      </c>
      <c r="AJ99" s="1">
        <v>2.6238487241977347E-4</v>
      </c>
      <c r="AK99" s="1">
        <v>1.3808929172678004E-5</v>
      </c>
      <c r="AL99" s="1">
        <v>7.2674359286589893E-7</v>
      </c>
      <c r="AM99" s="1">
        <v>3.8247444326510145E-8</v>
      </c>
      <c r="AN99" s="1">
        <v>2.0129065890061724E-9</v>
      </c>
      <c r="AO99" s="1">
        <v>1.0593549701698337E-10</v>
      </c>
      <c r="AP99" s="9">
        <v>5.5598296926187087E-12</v>
      </c>
    </row>
    <row r="100" spans="1:42" x14ac:dyDescent="0.2">
      <c r="A100" s="40">
        <f t="shared" si="37"/>
        <v>0.36000000000000065</v>
      </c>
      <c r="B100" s="9">
        <v>1.8190729275635587E-3</v>
      </c>
      <c r="D100" s="8">
        <v>1.4630282174708579E-13</v>
      </c>
      <c r="E100" s="1">
        <v>2.7876145482191374E-12</v>
      </c>
      <c r="F100" s="1">
        <v>5.2968153732456534E-11</v>
      </c>
      <c r="G100" s="1">
        <v>1.0064533158294262E-9</v>
      </c>
      <c r="H100" s="1">
        <v>1.9123722164377441E-8</v>
      </c>
      <c r="I100" s="1">
        <v>3.6337179643300833E-7</v>
      </c>
      <c r="J100" s="1">
        <v>6.9044645863390018E-6</v>
      </c>
      <c r="K100" s="1">
        <v>1.3119243620988671E-4</v>
      </c>
      <c r="L100" s="1">
        <v>2.4928008686928948E-3</v>
      </c>
      <c r="M100" s="1">
        <v>4.7365963697896148E-2</v>
      </c>
      <c r="N100" s="1">
        <v>0.90000550994946416</v>
      </c>
      <c r="O100" s="1">
        <v>4.7365963697896148E-2</v>
      </c>
      <c r="P100" s="1">
        <v>2.4928008686928948E-3</v>
      </c>
      <c r="Q100" s="1">
        <v>1.3119243620988668E-4</v>
      </c>
      <c r="R100" s="1">
        <v>6.9044645863378795E-6</v>
      </c>
      <c r="S100" s="1">
        <v>3.6337179641162308E-7</v>
      </c>
      <c r="T100" s="1">
        <v>1.9123721758031116E-8</v>
      </c>
      <c r="U100" s="1">
        <v>1.0064455948011763E-9</v>
      </c>
      <c r="V100" s="9">
        <v>5.2821445686744569E-11</v>
      </c>
      <c r="X100" s="8">
        <v>2.9260564349417159E-13</v>
      </c>
      <c r="Y100" s="1">
        <v>5.5752290964382739E-12</v>
      </c>
      <c r="Z100" s="1">
        <v>1.0593630746491308E-10</v>
      </c>
      <c r="AA100" s="1">
        <v>2.0129066316588519E-9</v>
      </c>
      <c r="AB100" s="1">
        <v>3.8247444328754882E-8</v>
      </c>
      <c r="AC100" s="1">
        <v>7.2674359286601677E-7</v>
      </c>
      <c r="AD100" s="1">
        <v>1.3808929172678005E-5</v>
      </c>
      <c r="AE100" s="1">
        <v>2.6238487241977341E-4</v>
      </c>
      <c r="AF100" s="1">
        <v>4.9856017373857897E-3</v>
      </c>
      <c r="AG100" s="1">
        <v>9.4731927395792309E-2</v>
      </c>
      <c r="AH100" s="1">
        <v>0.80001101989892864</v>
      </c>
      <c r="AI100" s="1">
        <v>9.4731927395792295E-2</v>
      </c>
      <c r="AJ100" s="1">
        <v>4.9856017373857897E-3</v>
      </c>
      <c r="AK100" s="1">
        <v>2.6238487241977336E-4</v>
      </c>
      <c r="AL100" s="1">
        <v>1.3808929172675759E-5</v>
      </c>
      <c r="AM100" s="1">
        <v>7.2674359282324627E-7</v>
      </c>
      <c r="AN100" s="1">
        <v>3.8247443516062225E-8</v>
      </c>
      <c r="AO100" s="1">
        <v>2.0128911896023534E-9</v>
      </c>
      <c r="AP100" s="9">
        <v>1.0564289137348915E-10</v>
      </c>
    </row>
    <row r="101" spans="1:42" x14ac:dyDescent="0.2">
      <c r="A101" s="40">
        <f t="shared" si="37"/>
        <v>0.38000000000000067</v>
      </c>
      <c r="B101" s="9">
        <v>1.7514869873294092E-3</v>
      </c>
      <c r="D101" s="8">
        <v>7.6997019097820264E-15</v>
      </c>
      <c r="E101" s="1">
        <v>1.467080457119522E-13</v>
      </c>
      <c r="F101" s="1">
        <v>2.7876358745592501E-12</v>
      </c>
      <c r="G101" s="1">
        <v>5.2968154854830371E-11</v>
      </c>
      <c r="H101" s="1">
        <v>1.0064533158884947E-9</v>
      </c>
      <c r="I101" s="1">
        <v>1.9123722164380541E-8</v>
      </c>
      <c r="J101" s="1">
        <v>3.6337179643300854E-7</v>
      </c>
      <c r="K101" s="1">
        <v>6.9044645863390018E-6</v>
      </c>
      <c r="L101" s="1">
        <v>1.3119243620988671E-4</v>
      </c>
      <c r="M101" s="1">
        <v>2.4928008686928948E-3</v>
      </c>
      <c r="N101" s="1">
        <v>4.7365963697896148E-2</v>
      </c>
      <c r="O101" s="1">
        <v>0.90000550994946416</v>
      </c>
      <c r="P101" s="1">
        <v>4.7365963697896148E-2</v>
      </c>
      <c r="Q101" s="1">
        <v>2.492800868692894E-3</v>
      </c>
      <c r="R101" s="1">
        <v>1.3119243620986535E-4</v>
      </c>
      <c r="S101" s="1">
        <v>6.9044645859326547E-6</v>
      </c>
      <c r="T101" s="1">
        <v>3.6337178871192132E-7</v>
      </c>
      <c r="U101" s="1">
        <v>1.9123575455209363E-8</v>
      </c>
      <c r="V101" s="9">
        <v>1.0036656799548666E-9</v>
      </c>
      <c r="X101" s="8">
        <v>1.5399403819564053E-14</v>
      </c>
      <c r="Y101" s="1">
        <v>2.9341609142390434E-13</v>
      </c>
      <c r="Z101" s="1">
        <v>5.5752717491184994E-12</v>
      </c>
      <c r="AA101" s="1">
        <v>1.0593630970966074E-10</v>
      </c>
      <c r="AB101" s="1">
        <v>2.012906631776989E-9</v>
      </c>
      <c r="AC101" s="1">
        <v>3.8247444328761089E-8</v>
      </c>
      <c r="AD101" s="1">
        <v>7.2674359286601709E-7</v>
      </c>
      <c r="AE101" s="1">
        <v>1.3808929172678005E-5</v>
      </c>
      <c r="AF101" s="1">
        <v>2.6238487241977341E-4</v>
      </c>
      <c r="AG101" s="1">
        <v>4.9856017373857897E-3</v>
      </c>
      <c r="AH101" s="1">
        <v>9.4731927395792309E-2</v>
      </c>
      <c r="AI101" s="1">
        <v>0.80001101989892864</v>
      </c>
      <c r="AJ101" s="1">
        <v>9.4731927395792295E-2</v>
      </c>
      <c r="AK101" s="1">
        <v>4.9856017373857879E-3</v>
      </c>
      <c r="AL101" s="1">
        <v>2.6238487241973075E-4</v>
      </c>
      <c r="AM101" s="1">
        <v>1.3808929171865311E-5</v>
      </c>
      <c r="AN101" s="1">
        <v>7.2674357742384254E-7</v>
      </c>
      <c r="AO101" s="1">
        <v>3.8247150910418732E-8</v>
      </c>
      <c r="AP101" s="9">
        <v>2.0073313599097337E-9</v>
      </c>
    </row>
    <row r="102" spans="1:42" x14ac:dyDescent="0.2">
      <c r="A102" s="40">
        <f t="shared" si="37"/>
        <v>0.40000000000000069</v>
      </c>
      <c r="B102" s="9">
        <v>1.6839936476595874E-3</v>
      </c>
      <c r="D102" s="8">
        <v>4.0522396486643227E-16</v>
      </c>
      <c r="E102" s="1">
        <v>7.7210282498957207E-15</v>
      </c>
      <c r="F102" s="1">
        <v>1.4670916808580485E-13</v>
      </c>
      <c r="G102" s="1">
        <v>2.7876359336281316E-12</v>
      </c>
      <c r="H102" s="1">
        <v>5.2968154857939065E-11</v>
      </c>
      <c r="I102" s="1">
        <v>1.0064533158886579E-9</v>
      </c>
      <c r="J102" s="1">
        <v>1.9123722164380554E-8</v>
      </c>
      <c r="K102" s="1">
        <v>3.6337179643300854E-7</v>
      </c>
      <c r="L102" s="1">
        <v>6.9044645863390018E-6</v>
      </c>
      <c r="M102" s="1">
        <v>1.3119243620988671E-4</v>
      </c>
      <c r="N102" s="1">
        <v>2.4928008686928948E-3</v>
      </c>
      <c r="O102" s="1">
        <v>4.7365963697896148E-2</v>
      </c>
      <c r="P102" s="1">
        <v>0.90000550994946416</v>
      </c>
      <c r="Q102" s="1">
        <v>4.7365963697896134E-2</v>
      </c>
      <c r="R102" s="1">
        <v>2.4928008686924885E-3</v>
      </c>
      <c r="S102" s="1">
        <v>1.3119243620216564E-4</v>
      </c>
      <c r="T102" s="1">
        <v>6.9044644396298351E-6</v>
      </c>
      <c r="U102" s="1">
        <v>3.6336900879707495E-7</v>
      </c>
      <c r="V102" s="9">
        <v>1.9070754009522613E-8</v>
      </c>
      <c r="X102" s="8">
        <v>8.1044792973286464E-16</v>
      </c>
      <c r="Y102" s="1">
        <v>1.5442056499791441E-14</v>
      </c>
      <c r="Z102" s="1">
        <v>2.9341833617160966E-13</v>
      </c>
      <c r="AA102" s="1">
        <v>5.5752718672562625E-12</v>
      </c>
      <c r="AB102" s="1">
        <v>1.0593630971587812E-10</v>
      </c>
      <c r="AC102" s="1">
        <v>2.0129066317773162E-9</v>
      </c>
      <c r="AD102" s="1">
        <v>3.8247444328761116E-8</v>
      </c>
      <c r="AE102" s="1">
        <v>7.2674359286601719E-7</v>
      </c>
      <c r="AF102" s="1">
        <v>1.3808929172678005E-5</v>
      </c>
      <c r="AG102" s="1">
        <v>2.6238487241977341E-4</v>
      </c>
      <c r="AH102" s="1">
        <v>4.9856017373857897E-3</v>
      </c>
      <c r="AI102" s="1">
        <v>9.4731927395792309E-2</v>
      </c>
      <c r="AJ102" s="1">
        <v>0.80001101989892864</v>
      </c>
      <c r="AK102" s="1">
        <v>9.4731927395792268E-2</v>
      </c>
      <c r="AL102" s="1">
        <v>4.9856017373849778E-3</v>
      </c>
      <c r="AM102" s="1">
        <v>2.6238487240433128E-4</v>
      </c>
      <c r="AN102" s="1">
        <v>1.3808928879259668E-5</v>
      </c>
      <c r="AO102" s="1">
        <v>7.2673801759415E-7</v>
      </c>
      <c r="AP102" s="9">
        <v>3.8141508019045232E-8</v>
      </c>
    </row>
    <row r="103" spans="1:42" x14ac:dyDescent="0.2">
      <c r="A103" s="40">
        <f t="shared" si="37"/>
        <v>0.42000000000000071</v>
      </c>
      <c r="B103" s="9">
        <v>1.6165935358789518E-3</v>
      </c>
      <c r="D103" s="8">
        <v>2.132634011369409E-17</v>
      </c>
      <c r="E103" s="1">
        <v>4.0634633871911102E-16</v>
      </c>
      <c r="F103" s="1">
        <v>7.7210873187775992E-15</v>
      </c>
      <c r="G103" s="1">
        <v>1.4670917119451295E-13</v>
      </c>
      <c r="H103" s="1">
        <v>2.7876359337917361E-12</v>
      </c>
      <c r="I103" s="1">
        <v>5.2968154857947653E-11</v>
      </c>
      <c r="J103" s="1">
        <v>1.0064533158886581E-9</v>
      </c>
      <c r="K103" s="1">
        <v>1.9123722164380545E-8</v>
      </c>
      <c r="L103" s="1">
        <v>3.6337179643300833E-7</v>
      </c>
      <c r="M103" s="1">
        <v>6.9044645863389985E-6</v>
      </c>
      <c r="N103" s="1">
        <v>1.3119243620988665E-4</v>
      </c>
      <c r="O103" s="1">
        <v>2.4928008686928935E-3</v>
      </c>
      <c r="P103" s="1">
        <v>4.7365963697896134E-2</v>
      </c>
      <c r="Q103" s="1">
        <v>0.90000550994946382</v>
      </c>
      <c r="R103" s="1">
        <v>4.7365963697888432E-2</v>
      </c>
      <c r="S103" s="1">
        <v>2.4928008685461858E-3</v>
      </c>
      <c r="T103" s="1">
        <v>1.3119243342225084E-4</v>
      </c>
      <c r="U103" s="1">
        <v>6.9044116181841474E-6</v>
      </c>
      <c r="V103" s="9">
        <v>3.6236534311711996E-7</v>
      </c>
      <c r="X103" s="8">
        <v>4.2652680227388187E-17</v>
      </c>
      <c r="Y103" s="1">
        <v>8.1269267743822195E-16</v>
      </c>
      <c r="Z103" s="1">
        <v>1.5442174637555195E-14</v>
      </c>
      <c r="AA103" s="1">
        <v>2.9341834238902589E-13</v>
      </c>
      <c r="AB103" s="1">
        <v>5.575271867583473E-12</v>
      </c>
      <c r="AC103" s="1">
        <v>1.0593630971589531E-10</v>
      </c>
      <c r="AD103" s="1">
        <v>2.0129066317773166E-9</v>
      </c>
      <c r="AE103" s="1">
        <v>3.8247444328761089E-8</v>
      </c>
      <c r="AF103" s="1">
        <v>7.2674359286601677E-7</v>
      </c>
      <c r="AG103" s="1">
        <v>1.3808929172677999E-5</v>
      </c>
      <c r="AH103" s="1">
        <v>2.6238487241977331E-4</v>
      </c>
      <c r="AI103" s="1">
        <v>4.9856017373857871E-3</v>
      </c>
      <c r="AJ103" s="1">
        <v>9.4731927395792268E-2</v>
      </c>
      <c r="AK103" s="1">
        <v>0.80001101989892776</v>
      </c>
      <c r="AL103" s="1">
        <v>9.4731927395776863E-2</v>
      </c>
      <c r="AM103" s="1">
        <v>4.9856017370923725E-3</v>
      </c>
      <c r="AN103" s="1">
        <v>2.6238486684450162E-4</v>
      </c>
      <c r="AO103" s="1">
        <v>1.3808823236368297E-5</v>
      </c>
      <c r="AP103" s="9">
        <v>7.2473068623424014E-7</v>
      </c>
    </row>
    <row r="104" spans="1:42" x14ac:dyDescent="0.2">
      <c r="A104" s="40">
        <f t="shared" si="37"/>
        <v>0.44000000000000072</v>
      </c>
      <c r="B104" s="9">
        <v>1.5492872804865332E-3</v>
      </c>
      <c r="D104" s="8">
        <v>1.1223738526787201E-18</v>
      </c>
      <c r="E104" s="1">
        <v>2.1385408995573841E-17</v>
      </c>
      <c r="F104" s="1">
        <v>4.0634944742725163E-16</v>
      </c>
      <c r="G104" s="1">
        <v>7.7210874823830721E-15</v>
      </c>
      <c r="H104" s="1">
        <v>1.4670917120309941E-13</v>
      </c>
      <c r="I104" s="1">
        <v>2.7876359337917357E-12</v>
      </c>
      <c r="J104" s="1">
        <v>5.2968154857939058E-11</v>
      </c>
      <c r="K104" s="1">
        <v>1.0064533158884945E-9</v>
      </c>
      <c r="L104" s="1">
        <v>1.9123722164377438E-8</v>
      </c>
      <c r="M104" s="1">
        <v>3.633717964329493E-7</v>
      </c>
      <c r="N104" s="1">
        <v>6.9044645863378761E-6</v>
      </c>
      <c r="O104" s="1">
        <v>1.3119243620986532E-4</v>
      </c>
      <c r="P104" s="1">
        <v>2.4928008686924885E-3</v>
      </c>
      <c r="Q104" s="1">
        <v>4.7365963697888432E-2</v>
      </c>
      <c r="R104" s="1">
        <v>0.90000550994931749</v>
      </c>
      <c r="S104" s="1">
        <v>4.7365963695108516E-2</v>
      </c>
      <c r="T104" s="1">
        <v>2.4928008157247407E-3</v>
      </c>
      <c r="U104" s="1">
        <v>1.3119142975657086E-4</v>
      </c>
      <c r="V104" s="9">
        <v>6.8853408641746226E-6</v>
      </c>
      <c r="X104" s="8">
        <v>2.244747705357441E-18</v>
      </c>
      <c r="Y104" s="1">
        <v>4.2770817991147681E-17</v>
      </c>
      <c r="Z104" s="1">
        <v>8.1269889485450316E-16</v>
      </c>
      <c r="AA104" s="1">
        <v>1.5442174964766141E-14</v>
      </c>
      <c r="AB104" s="1">
        <v>2.9341834240619883E-13</v>
      </c>
      <c r="AC104" s="1">
        <v>5.5752718675834722E-12</v>
      </c>
      <c r="AD104" s="1">
        <v>1.0593630971587813E-10</v>
      </c>
      <c r="AE104" s="1">
        <v>2.012906631776989E-9</v>
      </c>
      <c r="AF104" s="1">
        <v>3.8247444328754882E-8</v>
      </c>
      <c r="AG104" s="1">
        <v>7.2674359286589861E-7</v>
      </c>
      <c r="AH104" s="1">
        <v>1.3808929172675756E-5</v>
      </c>
      <c r="AI104" s="1">
        <v>2.623848724197307E-4</v>
      </c>
      <c r="AJ104" s="1">
        <v>4.985601737384977E-3</v>
      </c>
      <c r="AK104" s="1">
        <v>9.4731927395776877E-2</v>
      </c>
      <c r="AL104" s="1">
        <v>0.8000110198986351</v>
      </c>
      <c r="AM104" s="1">
        <v>9.4731927390217033E-2</v>
      </c>
      <c r="AN104" s="1">
        <v>4.9856016314494805E-3</v>
      </c>
      <c r="AO104" s="1">
        <v>2.6238285951314178E-4</v>
      </c>
      <c r="AP104" s="9">
        <v>1.3770681728349247E-5</v>
      </c>
    </row>
    <row r="105" spans="1:42" x14ac:dyDescent="0.2">
      <c r="A105" s="40">
        <f t="shared" si="37"/>
        <v>0.46000000000000074</v>
      </c>
      <c r="B105" s="9">
        <v>1.4820755108850836E-3</v>
      </c>
      <c r="D105" s="8">
        <v>5.9068881879748824E-20</v>
      </c>
      <c r="E105" s="1">
        <v>1.1254825608194775E-18</v>
      </c>
      <c r="F105" s="1">
        <v>2.1385572601050497E-17</v>
      </c>
      <c r="G105" s="1">
        <v>4.0634945601378402E-16</v>
      </c>
      <c r="H105" s="1">
        <v>7.7210874823830706E-15</v>
      </c>
      <c r="I105" s="1">
        <v>1.467091711945129E-13</v>
      </c>
      <c r="J105" s="1">
        <v>2.78763593362813E-12</v>
      </c>
      <c r="K105" s="1">
        <v>5.2968154854830352E-11</v>
      </c>
      <c r="L105" s="1">
        <v>1.0064533158294255E-9</v>
      </c>
      <c r="M105" s="1">
        <v>1.9123722163255063E-8</v>
      </c>
      <c r="N105" s="1">
        <v>3.6337179641162297E-7</v>
      </c>
      <c r="O105" s="1">
        <v>6.9044645859326513E-6</v>
      </c>
      <c r="P105" s="1">
        <v>1.3119243620216562E-4</v>
      </c>
      <c r="Q105" s="1">
        <v>2.4928008685461858E-3</v>
      </c>
      <c r="R105" s="1">
        <v>4.7365963695108516E-2</v>
      </c>
      <c r="S105" s="1">
        <v>0.90000550989649608</v>
      </c>
      <c r="T105" s="1">
        <v>4.7365962691442845E-2</v>
      </c>
      <c r="U105" s="1">
        <v>2.4927817449707308E-3</v>
      </c>
      <c r="V105" s="9">
        <v>1.3082906441345371E-4</v>
      </c>
      <c r="X105" s="8">
        <v>1.1813776375949767E-19</v>
      </c>
      <c r="Y105" s="1">
        <v>2.2509651216389546E-18</v>
      </c>
      <c r="Z105" s="1">
        <v>4.2771145202100993E-17</v>
      </c>
      <c r="AA105" s="1">
        <v>8.1269891202756794E-16</v>
      </c>
      <c r="AB105" s="1">
        <v>1.5442174964766141E-14</v>
      </c>
      <c r="AC105" s="1">
        <v>2.9341834238902579E-13</v>
      </c>
      <c r="AD105" s="1">
        <v>5.5752718672562609E-12</v>
      </c>
      <c r="AE105" s="1">
        <v>1.0593630970966072E-10</v>
      </c>
      <c r="AF105" s="1">
        <v>2.0129066316588515E-9</v>
      </c>
      <c r="AG105" s="1">
        <v>3.8247444326510125E-8</v>
      </c>
      <c r="AH105" s="1">
        <v>7.2674359282324584E-7</v>
      </c>
      <c r="AI105" s="1">
        <v>1.3808929171865304E-5</v>
      </c>
      <c r="AJ105" s="1">
        <v>2.6238487240433123E-4</v>
      </c>
      <c r="AK105" s="1">
        <v>4.9856017370923716E-3</v>
      </c>
      <c r="AL105" s="1">
        <v>9.4731927390217047E-2</v>
      </c>
      <c r="AM105" s="1">
        <v>0.80001101979299216</v>
      </c>
      <c r="AN105" s="1">
        <v>9.4731925382885676E-2</v>
      </c>
      <c r="AO105" s="1">
        <v>4.9855634899414625E-3</v>
      </c>
      <c r="AP105" s="9">
        <v>2.6165812882690748E-4</v>
      </c>
    </row>
    <row r="106" spans="1:42" x14ac:dyDescent="0.2">
      <c r="A106" s="40">
        <f t="shared" si="37"/>
        <v>0.48000000000000076</v>
      </c>
      <c r="B106" s="9">
        <v>1.4149588572291982E-3</v>
      </c>
      <c r="D106" s="8">
        <v>3.1087081407570382E-21</v>
      </c>
      <c r="E106" s="1">
        <v>5.9232487356411533E-20</v>
      </c>
      <c r="F106" s="1">
        <v>1.1254911473519674E-18</v>
      </c>
      <c r="G106" s="1">
        <v>2.138557260105049E-17</v>
      </c>
      <c r="H106" s="1">
        <v>4.0634944742725143E-16</v>
      </c>
      <c r="I106" s="1">
        <v>7.7210873187775929E-15</v>
      </c>
      <c r="J106" s="1">
        <v>1.4670916808580473E-13</v>
      </c>
      <c r="K106" s="1">
        <v>2.7876358745592485E-12</v>
      </c>
      <c r="L106" s="1">
        <v>5.2968153732456502E-11</v>
      </c>
      <c r="M106" s="1">
        <v>1.0064532945030856E-9</v>
      </c>
      <c r="N106" s="1">
        <v>1.9123721758031096E-8</v>
      </c>
      <c r="O106" s="1">
        <v>3.6337178871192101E-7</v>
      </c>
      <c r="P106" s="1">
        <v>6.90446443962983E-6</v>
      </c>
      <c r="Q106" s="1">
        <v>1.3119243342225075E-4</v>
      </c>
      <c r="R106" s="1">
        <v>2.4928008157247402E-3</v>
      </c>
      <c r="S106" s="1">
        <v>4.7365962691442838E-2</v>
      </c>
      <c r="T106" s="1">
        <v>0.9000054908257421</v>
      </c>
      <c r="U106" s="1">
        <v>4.7365600326099724E-2</v>
      </c>
      <c r="V106" s="9">
        <v>2.485896404106556E-3</v>
      </c>
      <c r="X106" s="8">
        <v>6.2174162815140779E-21</v>
      </c>
      <c r="Y106" s="1">
        <v>1.1846497471282304E-19</v>
      </c>
      <c r="Z106" s="1">
        <v>2.2509822947039344E-18</v>
      </c>
      <c r="AA106" s="1">
        <v>4.2771145202100981E-17</v>
      </c>
      <c r="AB106" s="1">
        <v>8.1269889485450276E-16</v>
      </c>
      <c r="AC106" s="1">
        <v>1.5442174637555186E-14</v>
      </c>
      <c r="AD106" s="1">
        <v>2.9341833617160951E-13</v>
      </c>
      <c r="AE106" s="1">
        <v>5.5752717491184978E-12</v>
      </c>
      <c r="AF106" s="1">
        <v>1.0593630746491302E-10</v>
      </c>
      <c r="AG106" s="1">
        <v>2.0129065890061712E-9</v>
      </c>
      <c r="AH106" s="1">
        <v>3.8247443516062199E-8</v>
      </c>
      <c r="AI106" s="1">
        <v>7.2674357742384212E-7</v>
      </c>
      <c r="AJ106" s="1">
        <v>1.380892887925966E-5</v>
      </c>
      <c r="AK106" s="1">
        <v>2.6238486684450162E-4</v>
      </c>
      <c r="AL106" s="1">
        <v>4.9856016314494805E-3</v>
      </c>
      <c r="AM106" s="1">
        <v>9.473192538288569E-2</v>
      </c>
      <c r="AN106" s="1">
        <v>0.80001098165148421</v>
      </c>
      <c r="AO106" s="1">
        <v>9.4731200652199449E-2</v>
      </c>
      <c r="AP106" s="9">
        <v>4.9717928082131119E-3</v>
      </c>
    </row>
    <row r="107" spans="1:42" x14ac:dyDescent="0.2">
      <c r="A107" s="40">
        <f t="shared" si="37"/>
        <v>0.50000000000000078</v>
      </c>
      <c r="B107" s="9">
        <v>1.3479379501819544E-3</v>
      </c>
      <c r="D107" s="8">
        <v>1.6360547666269735E-22</v>
      </c>
      <c r="E107" s="1">
        <v>3.1172946732474506E-21</v>
      </c>
      <c r="F107" s="1">
        <v>5.9232487356411509E-20</v>
      </c>
      <c r="G107" s="1">
        <v>1.1254825608194767E-18</v>
      </c>
      <c r="H107" s="1">
        <v>2.1385408995573825E-17</v>
      </c>
      <c r="I107" s="1">
        <v>4.0634633871911058E-16</v>
      </c>
      <c r="J107" s="1">
        <v>7.7210282498957129E-15</v>
      </c>
      <c r="K107" s="1">
        <v>1.4670804571195205E-13</v>
      </c>
      <c r="L107" s="1">
        <v>2.7876145482191345E-12</v>
      </c>
      <c r="M107" s="1">
        <v>5.2967748508491631E-11</v>
      </c>
      <c r="N107" s="1">
        <v>1.0064455948011757E-9</v>
      </c>
      <c r="O107" s="1">
        <v>1.9123575455209353E-8</v>
      </c>
      <c r="P107" s="1">
        <v>3.6336900879707474E-7</v>
      </c>
      <c r="Q107" s="1">
        <v>6.904411618184144E-6</v>
      </c>
      <c r="R107" s="1">
        <v>1.3119142975657081E-4</v>
      </c>
      <c r="S107" s="1">
        <v>2.4927817449707304E-3</v>
      </c>
      <c r="T107" s="1">
        <v>4.7365600326099717E-2</v>
      </c>
      <c r="U107" s="1">
        <v>0.89999860548487798</v>
      </c>
      <c r="V107" s="9">
        <v>4.7234771261686272E-2</v>
      </c>
      <c r="X107" s="8">
        <v>3.2721095332539476E-22</v>
      </c>
      <c r="Y107" s="1">
        <v>6.2345893464949012E-21</v>
      </c>
      <c r="Z107" s="1">
        <v>1.1846497471282299E-19</v>
      </c>
      <c r="AA107" s="1">
        <v>2.2509651216389534E-18</v>
      </c>
      <c r="AB107" s="1">
        <v>4.277081799114765E-17</v>
      </c>
      <c r="AC107" s="1">
        <v>8.1269267743822116E-16</v>
      </c>
      <c r="AD107" s="1">
        <v>1.5442056499791426E-14</v>
      </c>
      <c r="AE107" s="1">
        <v>2.9341609142390409E-13</v>
      </c>
      <c r="AF107" s="1">
        <v>5.5752290964382699E-12</v>
      </c>
      <c r="AG107" s="1">
        <v>1.0593549701698329E-10</v>
      </c>
      <c r="AH107" s="1">
        <v>2.0128911896023517E-9</v>
      </c>
      <c r="AI107" s="1">
        <v>3.8247150910418706E-8</v>
      </c>
      <c r="AJ107" s="1">
        <v>7.2673801759414948E-7</v>
      </c>
      <c r="AK107" s="1">
        <v>1.380882323636829E-5</v>
      </c>
      <c r="AL107" s="1">
        <v>2.6238285951314167E-4</v>
      </c>
      <c r="AM107" s="1">
        <v>4.9855634899414608E-3</v>
      </c>
      <c r="AN107" s="1">
        <v>9.4731200652199449E-2</v>
      </c>
      <c r="AO107" s="1">
        <v>0.79999721096975596</v>
      </c>
      <c r="AP107" s="9">
        <v>9.4469542523372543E-2</v>
      </c>
    </row>
    <row r="108" spans="1:42" x14ac:dyDescent="0.2">
      <c r="A108" s="40">
        <f t="shared" si="37"/>
        <v>0.52000000000000079</v>
      </c>
      <c r="B108" s="9">
        <v>1.2810134207830171E-3</v>
      </c>
      <c r="D108" s="10">
        <v>8.5865324904122932E-24</v>
      </c>
      <c r="E108" s="11">
        <v>1.6360547666269738E-22</v>
      </c>
      <c r="F108" s="11">
        <v>3.1087081407570374E-21</v>
      </c>
      <c r="G108" s="11">
        <v>5.90688818797488E-20</v>
      </c>
      <c r="H108" s="11">
        <v>1.1223738526787196E-18</v>
      </c>
      <c r="I108" s="11">
        <v>2.1326340113694069E-17</v>
      </c>
      <c r="J108" s="11">
        <v>4.0522396486643183E-16</v>
      </c>
      <c r="K108" s="11">
        <v>7.6997019097820185E-15</v>
      </c>
      <c r="L108" s="11">
        <v>1.4630282174708562E-13</v>
      </c>
      <c r="M108" s="11">
        <v>2.7799148463093527E-12</v>
      </c>
      <c r="N108" s="11">
        <v>5.2821445686744549E-11</v>
      </c>
      <c r="O108" s="11">
        <v>1.0036656799548662E-9</v>
      </c>
      <c r="P108" s="11">
        <v>1.9070754009522606E-8</v>
      </c>
      <c r="Q108" s="11">
        <v>3.6236534311711986E-7</v>
      </c>
      <c r="R108" s="11">
        <v>6.8853408641746209E-6</v>
      </c>
      <c r="S108" s="11">
        <v>1.3082906441345369E-4</v>
      </c>
      <c r="T108" s="11">
        <v>2.485896404106556E-3</v>
      </c>
      <c r="U108" s="11">
        <v>4.7234771261686265E-2</v>
      </c>
      <c r="V108" s="12">
        <v>0.89751270908077141</v>
      </c>
      <c r="X108" s="10">
        <v>1.7173064980824589E-23</v>
      </c>
      <c r="Y108" s="11">
        <v>3.2721095332539466E-22</v>
      </c>
      <c r="Z108" s="11">
        <v>6.2174162815140748E-21</v>
      </c>
      <c r="AA108" s="11">
        <v>1.181377637594976E-19</v>
      </c>
      <c r="AB108" s="11">
        <v>2.2447477053574387E-18</v>
      </c>
      <c r="AC108" s="11">
        <v>4.2652680227388144E-17</v>
      </c>
      <c r="AD108" s="11">
        <v>8.1044792973286366E-16</v>
      </c>
      <c r="AE108" s="11">
        <v>1.5399403819564037E-14</v>
      </c>
      <c r="AF108" s="11">
        <v>2.9260564349417128E-13</v>
      </c>
      <c r="AG108" s="11">
        <v>5.5598296926187055E-12</v>
      </c>
      <c r="AH108" s="11">
        <v>1.0564289137348911E-10</v>
      </c>
      <c r="AI108" s="11">
        <v>2.0073313599097325E-9</v>
      </c>
      <c r="AJ108" s="11">
        <v>3.8141508019045219E-8</v>
      </c>
      <c r="AK108" s="11">
        <v>7.2473068623423971E-7</v>
      </c>
      <c r="AL108" s="11">
        <v>1.3770681728349243E-5</v>
      </c>
      <c r="AM108" s="11">
        <v>2.6165812882690743E-4</v>
      </c>
      <c r="AN108" s="11">
        <v>4.9717928082131119E-3</v>
      </c>
      <c r="AO108" s="11">
        <v>9.4469542523372529E-2</v>
      </c>
      <c r="AP108" s="12">
        <v>0.79502541816154282</v>
      </c>
    </row>
    <row r="109" spans="1:42" x14ac:dyDescent="0.2">
      <c r="A109" s="40">
        <f t="shared" si="37"/>
        <v>0.54000000000000081</v>
      </c>
      <c r="B109" s="9">
        <v>1.2141859001877364E-3</v>
      </c>
    </row>
    <row r="110" spans="1:42" x14ac:dyDescent="0.2">
      <c r="A110" s="40">
        <f t="shared" si="37"/>
        <v>0.56000000000000083</v>
      </c>
      <c r="B110" s="9">
        <v>1.1474560194866257E-3</v>
      </c>
    </row>
    <row r="111" spans="1:42" x14ac:dyDescent="0.2">
      <c r="A111" s="40">
        <f t="shared" si="37"/>
        <v>0.58000000000000085</v>
      </c>
      <c r="B111" s="9">
        <v>1.080824409476433E-3</v>
      </c>
    </row>
    <row r="112" spans="1:42" x14ac:dyDescent="0.2">
      <c r="A112" s="40">
        <f t="shared" si="37"/>
        <v>0.60000000000000087</v>
      </c>
      <c r="B112" s="9">
        <v>1.0142917004787311E-3</v>
      </c>
    </row>
    <row r="113" spans="1:2" x14ac:dyDescent="0.2">
      <c r="A113" s="40">
        <f t="shared" si="37"/>
        <v>0.62000000000000088</v>
      </c>
      <c r="B113" s="9">
        <v>9.4785852206880072E-4</v>
      </c>
    </row>
    <row r="114" spans="1:2" x14ac:dyDescent="0.2">
      <c r="A114" s="40">
        <f t="shared" si="37"/>
        <v>0.6400000000000009</v>
      </c>
      <c r="B114" s="9">
        <v>8.8152550291220599E-4</v>
      </c>
    </row>
    <row r="115" spans="1:2" x14ac:dyDescent="0.2">
      <c r="A115" s="40">
        <f t="shared" si="37"/>
        <v>0.66000000000000092</v>
      </c>
      <c r="B115" s="9">
        <v>8.1529327051277356E-4</v>
      </c>
    </row>
    <row r="116" spans="1:2" x14ac:dyDescent="0.2">
      <c r="A116" s="40">
        <f t="shared" si="37"/>
        <v>0.68000000000000094</v>
      </c>
      <c r="B116" s="9">
        <v>7.4916245100098422E-4</v>
      </c>
    </row>
    <row r="117" spans="1:2" x14ac:dyDescent="0.2">
      <c r="A117" s="40">
        <f>A116+0.02</f>
        <v>0.70000000000000095</v>
      </c>
      <c r="B117" s="9">
        <v>6.8313366891703531E-4</v>
      </c>
    </row>
    <row r="118" spans="1:2" x14ac:dyDescent="0.2">
      <c r="A118" s="40">
        <f t="shared" ref="A118:A129" si="38">A117+0.02</f>
        <v>0.72000000000000097</v>
      </c>
      <c r="B118" s="9">
        <v>6.1720754695659963E-4</v>
      </c>
    </row>
    <row r="119" spans="1:2" x14ac:dyDescent="0.2">
      <c r="A119" s="40">
        <f t="shared" si="38"/>
        <v>0.74000000000000099</v>
      </c>
      <c r="B119" s="9">
        <v>5.5138470580584631E-4</v>
      </c>
    </row>
    <row r="120" spans="1:2" x14ac:dyDescent="0.2">
      <c r="A120" s="40">
        <f t="shared" si="38"/>
        <v>0.76000000000000101</v>
      </c>
      <c r="B120" s="9">
        <v>4.8566576384767579E-4</v>
      </c>
    </row>
    <row r="121" spans="1:2" x14ac:dyDescent="0.2">
      <c r="A121" s="40">
        <f t="shared" si="38"/>
        <v>0.78000000000000103</v>
      </c>
      <c r="B121" s="9">
        <v>4.200513369838621E-4</v>
      </c>
    </row>
    <row r="122" spans="1:2" x14ac:dyDescent="0.2">
      <c r="A122" s="40">
        <f t="shared" si="38"/>
        <v>0.80000000000000104</v>
      </c>
      <c r="B122" s="9">
        <v>3.5454203840967757E-4</v>
      </c>
    </row>
    <row r="123" spans="1:2" x14ac:dyDescent="0.2">
      <c r="A123" s="40">
        <f t="shared" si="38"/>
        <v>0.82000000000000106</v>
      </c>
      <c r="B123" s="9">
        <v>2.8913847836542494E-4</v>
      </c>
    </row>
    <row r="124" spans="1:2" x14ac:dyDescent="0.2">
      <c r="A124" s="40">
        <f t="shared" si="38"/>
        <v>0.84000000000000108</v>
      </c>
      <c r="B124" s="9">
        <v>2.238412639490317E-4</v>
      </c>
    </row>
    <row r="125" spans="1:2" x14ac:dyDescent="0.2">
      <c r="A125" s="40">
        <f t="shared" si="38"/>
        <v>0.8600000000000011</v>
      </c>
      <c r="B125" s="9">
        <v>1.5865099883471956E-4</v>
      </c>
    </row>
    <row r="126" spans="1:2" x14ac:dyDescent="0.2">
      <c r="A126" s="40">
        <f t="shared" si="38"/>
        <v>0.88000000000000111</v>
      </c>
      <c r="B126" s="9">
        <v>9.3568283140221808E-5</v>
      </c>
    </row>
    <row r="127" spans="1:2" x14ac:dyDescent="0.2">
      <c r="A127" s="40">
        <f t="shared" si="38"/>
        <v>0.90000000000000113</v>
      </c>
      <c r="B127" s="9">
        <v>2.8593713160995904E-5</v>
      </c>
    </row>
    <row r="128" spans="1:2" x14ac:dyDescent="0.2">
      <c r="A128" s="40">
        <f t="shared" si="38"/>
        <v>0.92000000000000115</v>
      </c>
      <c r="B128" s="9">
        <v>-3.6272118856262026E-5</v>
      </c>
    </row>
    <row r="129" spans="1:2" x14ac:dyDescent="0.2">
      <c r="A129" s="40">
        <f t="shared" si="38"/>
        <v>0.94000000000000117</v>
      </c>
      <c r="B129" s="9">
        <v>-1.0102862491079279E-4</v>
      </c>
    </row>
    <row r="130" spans="1:2" x14ac:dyDescent="0.2">
      <c r="A130" s="40">
        <f>A129+0.02</f>
        <v>0.96000000000000119</v>
      </c>
      <c r="B130" s="9">
        <v>-1.6567522142474367E-4</v>
      </c>
    </row>
    <row r="131" spans="1:2" x14ac:dyDescent="0.2">
      <c r="A131" s="40">
        <f t="shared" ref="A131" si="39">A130+0.02</f>
        <v>0.9800000000000012</v>
      </c>
      <c r="B131" s="9">
        <v>-2.3021132951162038E-4</v>
      </c>
    </row>
    <row r="132" spans="1:2" x14ac:dyDescent="0.2">
      <c r="A132" s="41">
        <f>A131+0.02</f>
        <v>1.0000000000000011</v>
      </c>
      <c r="B132" s="12">
        <v>-2.9463637512039398E-4</v>
      </c>
    </row>
    <row r="170" spans="4:25" x14ac:dyDescent="0.2">
      <c r="D170" s="26"/>
      <c r="Y170" s="27"/>
    </row>
  </sheetData>
  <mergeCells count="9">
    <mergeCell ref="AB2:AC2"/>
    <mergeCell ref="AC28:AC29"/>
    <mergeCell ref="F2:G2"/>
    <mergeCell ref="AD2:AE2"/>
    <mergeCell ref="A1:C1"/>
    <mergeCell ref="D1:E1"/>
    <mergeCell ref="F1:I1"/>
    <mergeCell ref="D2:E2"/>
    <mergeCell ref="E28:E2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Difference">
                <anchor moveWithCells="1" sizeWithCells="1">
                  <from>
                    <xdr:col>0</xdr:col>
                    <xdr:colOff>381000</xdr:colOff>
                    <xdr:row>27</xdr:row>
                    <xdr:rowOff>0</xdr:rowOff>
                  </from>
                  <to>
                    <xdr:col>1</xdr:col>
                    <xdr:colOff>927100</xdr:colOff>
                    <xdr:row>28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Chen</dc:creator>
  <cp:lastModifiedBy>Nicholas Chen</cp:lastModifiedBy>
  <dcterms:created xsi:type="dcterms:W3CDTF">2025-04-16T18:33:13Z</dcterms:created>
  <dcterms:modified xsi:type="dcterms:W3CDTF">2025-04-20T19:42:47Z</dcterms:modified>
</cp:coreProperties>
</file>